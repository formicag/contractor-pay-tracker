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gianlucaformica/Library/CloudStorage/GoogleDrive-gianluca.formica@colibridigital.io/Shared drives/Gianluca Consultancy Team /Contractor Pay/Spreadsheets/New Pay files from April 2025/7th April to 4th May 2025/"/>
    </mc:Choice>
  </mc:AlternateContent>
  <xr:revisionPtr revIDLastSave="0" documentId="13_ncr:1_{8930E60F-B57F-7A4A-B658-0B6F515B35E9}" xr6:coauthVersionLast="47" xr6:coauthVersionMax="47" xr10:uidLastSave="{00000000-0000-0000-0000-000000000000}"/>
  <bookViews>
    <workbookView xWindow="60" yWindow="8760" windowWidth="50200" windowHeight="28300" activeTab="1" xr2:uid="{00000000-000D-0000-FFFF-FFFF00000000}"/>
  </bookViews>
  <sheets>
    <sheet name="030723" sheetId="2" state="hidden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1zn8EGTJjv2UAqdsU8VkyjX3DW49bMLUS9v2c0V8tGM="/>
    </ext>
  </extLst>
</workbook>
</file>

<file path=xl/calcChain.xml><?xml version="1.0" encoding="utf-8"?>
<calcChain xmlns="http://schemas.openxmlformats.org/spreadsheetml/2006/main">
  <c r="I2" i="3" l="1"/>
  <c r="G2" i="3"/>
  <c r="H2" i="3" s="1"/>
  <c r="J13" i="2"/>
  <c r="G13" i="2"/>
  <c r="H13" i="2" s="1"/>
  <c r="J12" i="2"/>
  <c r="G12" i="2"/>
  <c r="H12" i="2" s="1"/>
  <c r="J11" i="2"/>
  <c r="G11" i="2"/>
  <c r="H11" i="2" s="1"/>
  <c r="J10" i="2"/>
  <c r="G10" i="2"/>
  <c r="H10" i="2" s="1"/>
  <c r="J9" i="2"/>
  <c r="G9" i="2"/>
  <c r="H9" i="2" s="1"/>
  <c r="J8" i="2"/>
  <c r="G8" i="2"/>
  <c r="H8" i="2" s="1"/>
  <c r="J7" i="2"/>
  <c r="G7" i="2"/>
  <c r="H7" i="2" s="1"/>
  <c r="J6" i="2"/>
  <c r="G6" i="2"/>
  <c r="H6" i="2" s="1"/>
  <c r="J5" i="2"/>
  <c r="G5" i="2"/>
  <c r="H5" i="2" s="1"/>
  <c r="J4" i="2"/>
  <c r="G4" i="2"/>
  <c r="H4" i="2" s="1"/>
  <c r="J3" i="2"/>
  <c r="G3" i="2"/>
  <c r="H3" i="2" s="1"/>
  <c r="J2" i="2"/>
  <c r="G2" i="2"/>
  <c r="H2" i="2" s="1"/>
</calcChain>
</file>

<file path=xl/sharedStrings.xml><?xml version="1.0" encoding="utf-8"?>
<sst xmlns="http://schemas.openxmlformats.org/spreadsheetml/2006/main" count="74" uniqueCount="28">
  <si>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</si>
  <si>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</si>
  <si>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</si>
  <si>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</si>
  <si>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</si>
  <si>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</si>
  <si>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</si>
  <si>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</si>
  <si>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week ending (yyyy/mm/dd)</t>
  </si>
  <si>
    <t>total hours per period</t>
  </si>
  <si>
    <t>company</t>
  </si>
  <si>
    <t xml:space="preserve">Hunt </t>
  </si>
  <si>
    <t>David</t>
  </si>
  <si>
    <t>day</t>
  </si>
  <si>
    <t>NASA GROUP</t>
  </si>
  <si>
    <t xml:space="preserve">Kayes </t>
  </si>
  <si>
    <t>Kevin</t>
  </si>
  <si>
    <t xml:space="preserve">Breden </t>
  </si>
  <si>
    <t>Barry</t>
  </si>
  <si>
    <t xml:space="preserve">Williams </t>
  </si>
  <si>
    <t>Richard</t>
  </si>
  <si>
    <t xml:space="preserve">Matthews </t>
  </si>
  <si>
    <t>James</t>
  </si>
  <si>
    <t>Diogo</t>
  </si>
  <si>
    <t>notes</t>
  </si>
  <si>
    <t>Coultas</t>
  </si>
  <si>
    <t>Nik</t>
  </si>
  <si>
    <t>CLARITY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</si>
</sst>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&quot;£&quot;#,##0.00"/>
  </numFmts>
  <fonts count="8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Aptos Narrow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2" fontId="1" fillId="0" borderId="0" xfId="0" applyNumberFormat="1" applyFont="1"/>
    <xf numFmtId="4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3" fillId="0" borderId="0" xfId="0" applyFont="1"/>
    <xf numFmtId="2" fontId="3" fillId="0" borderId="0" xfId="0" applyNumberFormat="1" applyFont="1"/>
    <xf numFmtId="165" fontId="3" fillId="0" borderId="0" xfId="0" applyNumberFormat="1" applyFont="1" applyAlignment="1">
      <alignment horizontal="right"/>
    </xf>
    <xf numFmtId="4" fontId="3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4" fillId="0" borderId="1" xfId="0" applyFont="1" applyBorder="1" applyAlignment="1">
      <alignment horizontal="left"/>
    </xf>
    <xf numFmtId="2" fontId="4" fillId="0" borderId="1" xfId="0" applyNumberFormat="1" applyFont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2" fontId="7" fillId="0" borderId="1" xfId="0" applyNumberFormat="1" applyFont="1" applyBorder="1" applyAlignment="1">
      <alignment horizontal="left"/>
    </xf>
    <xf numFmtId="165" fontId="7" fillId="0" borderId="1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baseColWidth="10" defaultColWidth="14.5" defaultRowHeight="15" customHeight="1" x14ac:dyDescent="0.2"/>
  <cols>
    <col min="1" max="1" width="15.1640625" customWidth="1"/>
    <col min="2" max="2" width="20.5" customWidth="1"/>
    <col min="3" max="3" width="13.5" customWidth="1"/>
    <col min="4" max="8" width="8.6640625" customWidth="1"/>
    <col min="9" max="9" width="16.6640625" customWidth="1"/>
    <col min="10" max="10" width="8.6640625" customWidth="1"/>
    <col min="11" max="11" width="24.6640625" customWidth="1"/>
    <col min="12" max="26" width="8.6640625" customWidth="1"/>
  </cols>
  <sheetData>
    <row r="1" spans="1:11" ht="14.2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1" t="s">
        <v>9</v>
      </c>
      <c r="K1" s="4" t="s">
        <v>10</v>
      </c>
    </row>
    <row r="2" spans="1:11" ht="14.25" customHeight="1" x14ac:dyDescent="0.2">
      <c r="A2" s="6">
        <v>812277</v>
      </c>
      <c r="B2" s="7" t="s">
        <v>11</v>
      </c>
      <c r="C2" s="8" t="s">
        <v>12</v>
      </c>
      <c r="D2" s="9">
        <v>5</v>
      </c>
      <c r="E2" s="10">
        <v>472.03</v>
      </c>
      <c r="F2" s="8" t="s">
        <v>13</v>
      </c>
      <c r="G2" s="11">
        <f t="shared" ref="G2:G13" si="0">D2*E2</f>
        <v>2360.1499999999996</v>
      </c>
      <c r="H2" s="11">
        <f t="shared" ref="H2:H13" si="1">G2*IF(I2= "", "0.200", IF(DATEVALUE(DAY(I2) &amp; "/" &amp; MONTH(I2) &amp; "/" &amp; YEAR(I2))&lt; DATEVALUE("01/01/2010"), "0.175", "0.200"))</f>
        <v>472.03</v>
      </c>
      <c r="I2" s="12">
        <v>45102</v>
      </c>
      <c r="J2" s="5">
        <f t="shared" ref="J2:J13" si="2">7.5*D2</f>
        <v>37.5</v>
      </c>
      <c r="K2" s="12" t="s">
        <v>14</v>
      </c>
    </row>
    <row r="3" spans="1:11" ht="14.25" customHeight="1" x14ac:dyDescent="0.2">
      <c r="A3" s="6">
        <v>814829</v>
      </c>
      <c r="B3" s="7" t="s">
        <v>15</v>
      </c>
      <c r="C3" s="8" t="s">
        <v>16</v>
      </c>
      <c r="D3" s="9">
        <v>3</v>
      </c>
      <c r="E3" s="10">
        <v>534.96</v>
      </c>
      <c r="F3" s="8" t="s">
        <v>13</v>
      </c>
      <c r="G3" s="11">
        <f t="shared" si="0"/>
        <v>1604.88</v>
      </c>
      <c r="H3" s="11">
        <f t="shared" si="1"/>
        <v>320.97600000000006</v>
      </c>
      <c r="I3" s="12">
        <v>45102</v>
      </c>
      <c r="J3" s="5">
        <f t="shared" si="2"/>
        <v>22.5</v>
      </c>
      <c r="K3" s="12" t="s">
        <v>14</v>
      </c>
    </row>
    <row r="4" spans="1:11" ht="14.25" customHeight="1" x14ac:dyDescent="0.2">
      <c r="A4" s="13">
        <v>825675</v>
      </c>
      <c r="B4" s="7" t="s">
        <v>17</v>
      </c>
      <c r="C4" s="8" t="s">
        <v>18</v>
      </c>
      <c r="D4" s="9">
        <v>3.5</v>
      </c>
      <c r="E4" s="10">
        <v>438.43</v>
      </c>
      <c r="F4" s="8" t="s">
        <v>13</v>
      </c>
      <c r="G4" s="11">
        <f t="shared" si="0"/>
        <v>1534.5050000000001</v>
      </c>
      <c r="H4" s="11">
        <f t="shared" si="1"/>
        <v>306.90100000000001</v>
      </c>
      <c r="I4" s="12">
        <v>45102</v>
      </c>
      <c r="J4" s="5">
        <f t="shared" si="2"/>
        <v>26.25</v>
      </c>
      <c r="K4" s="12" t="s">
        <v>14</v>
      </c>
    </row>
    <row r="5" spans="1:11" ht="14.25" customHeight="1" x14ac:dyDescent="0.2">
      <c r="A5" s="13">
        <v>814233</v>
      </c>
      <c r="B5" s="7" t="s">
        <v>19</v>
      </c>
      <c r="C5" s="8" t="s">
        <v>20</v>
      </c>
      <c r="D5" s="9">
        <v>4</v>
      </c>
      <c r="E5" s="10">
        <v>450</v>
      </c>
      <c r="F5" s="8" t="s">
        <v>13</v>
      </c>
      <c r="G5" s="11">
        <f t="shared" si="0"/>
        <v>1800</v>
      </c>
      <c r="H5" s="11">
        <f t="shared" si="1"/>
        <v>360</v>
      </c>
      <c r="I5" s="12">
        <v>45102</v>
      </c>
      <c r="J5" s="5">
        <f t="shared" si="2"/>
        <v>30</v>
      </c>
      <c r="K5" s="12" t="s">
        <v>14</v>
      </c>
    </row>
    <row r="6" spans="1:11" ht="14.25" customHeight="1" x14ac:dyDescent="0.2">
      <c r="A6" s="6">
        <v>829112</v>
      </c>
      <c r="B6" s="7" t="s">
        <v>21</v>
      </c>
      <c r="C6" s="8" t="s">
        <v>22</v>
      </c>
      <c r="D6" s="9">
        <v>4</v>
      </c>
      <c r="E6" s="10">
        <v>490</v>
      </c>
      <c r="F6" s="8" t="s">
        <v>13</v>
      </c>
      <c r="G6" s="11">
        <f t="shared" si="0"/>
        <v>1960</v>
      </c>
      <c r="H6" s="11">
        <f t="shared" si="1"/>
        <v>392</v>
      </c>
      <c r="I6" s="12">
        <v>45102</v>
      </c>
      <c r="J6" s="5">
        <f t="shared" si="2"/>
        <v>30</v>
      </c>
      <c r="K6" s="12" t="s">
        <v>14</v>
      </c>
    </row>
    <row r="7" spans="1:11" ht="14.25" customHeight="1" x14ac:dyDescent="0.2">
      <c r="A7" s="6">
        <v>808042</v>
      </c>
      <c r="B7" s="7" t="s">
        <v>23</v>
      </c>
      <c r="C7" s="8" t="s">
        <v>23</v>
      </c>
      <c r="D7" s="9">
        <v>5</v>
      </c>
      <c r="E7" s="10">
        <v>547.51</v>
      </c>
      <c r="F7" s="8" t="s">
        <v>13</v>
      </c>
      <c r="G7" s="11">
        <f t="shared" si="0"/>
        <v>2737.55</v>
      </c>
      <c r="H7" s="11">
        <f t="shared" si="1"/>
        <v>547.5100000000001</v>
      </c>
      <c r="I7" s="12">
        <v>45102</v>
      </c>
      <c r="J7" s="5">
        <f t="shared" si="2"/>
        <v>37.5</v>
      </c>
      <c r="K7" s="12" t="s">
        <v>14</v>
      </c>
    </row>
    <row r="8" spans="1:11" ht="14.25" customHeight="1" x14ac:dyDescent="0.2">
      <c r="A8" s="6">
        <v>812277</v>
      </c>
      <c r="B8" s="7" t="s">
        <v>11</v>
      </c>
      <c r="C8" s="8" t="s">
        <v>12</v>
      </c>
      <c r="D8" s="9">
        <v>5</v>
      </c>
      <c r="E8" s="10">
        <v>472.03</v>
      </c>
      <c r="F8" s="8" t="s">
        <v>13</v>
      </c>
      <c r="G8" s="11">
        <f t="shared" si="0"/>
        <v>2360.1499999999996</v>
      </c>
      <c r="H8" s="11">
        <f t="shared" si="1"/>
        <v>472.03</v>
      </c>
      <c r="I8" s="12">
        <v>45109</v>
      </c>
      <c r="J8" s="5">
        <f t="shared" si="2"/>
        <v>37.5</v>
      </c>
      <c r="K8" s="12" t="s">
        <v>14</v>
      </c>
    </row>
    <row r="9" spans="1:11" ht="14.25" customHeight="1" x14ac:dyDescent="0.2">
      <c r="A9" s="6">
        <v>814829</v>
      </c>
      <c r="B9" s="7" t="s">
        <v>15</v>
      </c>
      <c r="C9" s="8" t="s">
        <v>16</v>
      </c>
      <c r="D9" s="9">
        <v>3</v>
      </c>
      <c r="E9" s="10">
        <v>534.96</v>
      </c>
      <c r="F9" s="8" t="s">
        <v>13</v>
      </c>
      <c r="G9" s="11">
        <f t="shared" si="0"/>
        <v>1604.88</v>
      </c>
      <c r="H9" s="11">
        <f t="shared" si="1"/>
        <v>320.97600000000006</v>
      </c>
      <c r="I9" s="12">
        <v>45109</v>
      </c>
      <c r="J9" s="5">
        <f t="shared" si="2"/>
        <v>22.5</v>
      </c>
      <c r="K9" s="12" t="s">
        <v>14</v>
      </c>
    </row>
    <row r="10" spans="1:11" ht="14.25" customHeight="1" x14ac:dyDescent="0.2">
      <c r="A10" s="13">
        <v>825675</v>
      </c>
      <c r="B10" s="7" t="s">
        <v>17</v>
      </c>
      <c r="C10" s="8" t="s">
        <v>18</v>
      </c>
      <c r="D10" s="9">
        <v>0</v>
      </c>
      <c r="E10" s="10">
        <v>438.43</v>
      </c>
      <c r="F10" s="8" t="s">
        <v>13</v>
      </c>
      <c r="G10" s="11">
        <f t="shared" si="0"/>
        <v>0</v>
      </c>
      <c r="H10" s="11">
        <f t="shared" si="1"/>
        <v>0</v>
      </c>
      <c r="I10" s="12">
        <v>45109</v>
      </c>
      <c r="J10" s="5">
        <f t="shared" si="2"/>
        <v>0</v>
      </c>
      <c r="K10" s="12" t="s">
        <v>14</v>
      </c>
    </row>
    <row r="11" spans="1:11" ht="14.25" customHeight="1" x14ac:dyDescent="0.2">
      <c r="A11" s="13">
        <v>814233</v>
      </c>
      <c r="B11" s="7" t="s">
        <v>19</v>
      </c>
      <c r="C11" s="8" t="s">
        <v>20</v>
      </c>
      <c r="D11" s="9">
        <v>4</v>
      </c>
      <c r="E11" s="10">
        <v>450</v>
      </c>
      <c r="F11" s="8" t="s">
        <v>13</v>
      </c>
      <c r="G11" s="11">
        <f t="shared" si="0"/>
        <v>1800</v>
      </c>
      <c r="H11" s="11">
        <f t="shared" si="1"/>
        <v>360</v>
      </c>
      <c r="I11" s="12">
        <v>45109</v>
      </c>
      <c r="J11" s="5">
        <f t="shared" si="2"/>
        <v>30</v>
      </c>
      <c r="K11" s="12" t="s">
        <v>14</v>
      </c>
    </row>
    <row r="12" spans="1:11" ht="14.25" customHeight="1" x14ac:dyDescent="0.2">
      <c r="A12" s="6">
        <v>829112</v>
      </c>
      <c r="B12" s="7" t="s">
        <v>21</v>
      </c>
      <c r="C12" s="8" t="s">
        <v>22</v>
      </c>
      <c r="D12" s="9">
        <v>5</v>
      </c>
      <c r="E12" s="10">
        <v>490</v>
      </c>
      <c r="F12" s="8" t="s">
        <v>13</v>
      </c>
      <c r="G12" s="11">
        <f t="shared" si="0"/>
        <v>2450</v>
      </c>
      <c r="H12" s="11">
        <f t="shared" si="1"/>
        <v>490</v>
      </c>
      <c r="I12" s="12">
        <v>45109</v>
      </c>
      <c r="J12" s="5">
        <f t="shared" si="2"/>
        <v>37.5</v>
      </c>
      <c r="K12" s="12" t="s">
        <v>14</v>
      </c>
    </row>
    <row r="13" spans="1:11" ht="14.25" customHeight="1" x14ac:dyDescent="0.2">
      <c r="A13" s="6">
        <v>808042</v>
      </c>
      <c r="B13" s="7" t="s">
        <v>23</v>
      </c>
      <c r="C13" s="8" t="s">
        <v>23</v>
      </c>
      <c r="D13" s="9">
        <v>5</v>
      </c>
      <c r="E13" s="10">
        <v>547.51</v>
      </c>
      <c r="F13" s="8" t="s">
        <v>13</v>
      </c>
      <c r="G13" s="11">
        <f t="shared" si="0"/>
        <v>2737.55</v>
      </c>
      <c r="H13" s="11">
        <f t="shared" si="1"/>
        <v>547.5100000000001</v>
      </c>
      <c r="I13" s="12">
        <v>45109</v>
      </c>
      <c r="J13" s="5">
        <f t="shared" si="2"/>
        <v>37.5</v>
      </c>
      <c r="K13" s="12" t="s">
        <v>14</v>
      </c>
    </row>
    <row r="14" spans="1:11" ht="14.25" customHeight="1" x14ac:dyDescent="0.2"/>
    <row r="15" spans="1:11" ht="14.25" customHeight="1" x14ac:dyDescent="0.2"/>
    <row r="16" spans="1:11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dataValidations count="2">
    <dataValidation type="date" allowBlank="1" showInputMessage="1" showErrorMessage="1" prompt="Please enter date as yyyy/mm/dd" sqref="I2:I13" xr:uid="{00000000-0002-0000-0100-000000000000}">
      <formula1>36526</formula1>
      <formula2>73051</formula2>
    </dataValidation>
    <dataValidation type="list" allowBlank="1" showErrorMessage="1" sqref="F2:F13" xr:uid="{00000000-0002-0000-0100-000001000000}">
      <formula1>"hour,day,expense,credit"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0"/>
  <sheetViews>
    <sheetView tabSelected="1" workbookViewId="0">
      <selection activeCell="D3" sqref="D3"/>
    </sheetView>
  </sheetViews>
  <sheetFormatPr baseColWidth="10" defaultColWidth="14.5" defaultRowHeight="15" customHeight="1" x14ac:dyDescent="0.2"/>
  <cols>
    <col min="1" max="1" width="12.6640625" customWidth="1"/>
    <col min="2" max="2" width="21.33203125" customWidth="1"/>
    <col min="3" max="3" width="13.1640625" customWidth="1"/>
    <col min="4" max="4" width="8.6640625" customWidth="1"/>
    <col min="5" max="5" width="13.1640625" customWidth="1"/>
    <col min="6" max="6" width="8.6640625" customWidth="1"/>
    <col min="7" max="7" width="11.6640625" customWidth="1"/>
    <col min="8" max="8" width="11.33203125" customWidth="1"/>
    <col min="9" max="9" width="23.6640625" customWidth="1"/>
    <col min="10" max="10" width="13" customWidth="1"/>
    <col min="11" max="11" width="23.1640625" customWidth="1"/>
    <col min="12" max="25" width="8.6640625" customWidth="1"/>
  </cols>
  <sheetData>
    <row r="1" spans="1:25" ht="14.25" customHeight="1" x14ac:dyDescent="0.2">
      <c r="A1" s="14" t="s">
        <v>0</v>
      </c>
      <c r="B1" s="14" t="s">
        <v>1</v>
      </c>
      <c r="C1" s="14" t="s">
        <v>2</v>
      </c>
      <c r="D1" s="15" t="s">
        <v>3</v>
      </c>
      <c r="E1" s="16" t="s">
        <v>4</v>
      </c>
      <c r="F1" s="14" t="s">
        <v>5</v>
      </c>
      <c r="G1" s="16" t="s">
        <v>6</v>
      </c>
      <c r="H1" s="16" t="s">
        <v>7</v>
      </c>
      <c r="I1" s="14" t="s">
        <v>9</v>
      </c>
      <c r="J1" s="17" t="s">
        <v>10</v>
      </c>
      <c r="K1" s="17" t="s">
        <v>24</v>
      </c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 ht="14.25" customHeight="1" x14ac:dyDescent="0.2">
      <c r="A2" s="19"/>
      <c r="B2" s="20" t="s">
        <v>25</v>
      </c>
      <c r="C2" s="20" t="s">
        <v>26</v>
      </c>
      <c r="D2" s="21">
        <v>17</v>
      </c>
      <c r="E2" s="22">
        <v>535</v>
      </c>
      <c r="F2" s="20" t="s">
        <v>13</v>
      </c>
      <c r="G2" s="23">
        <f>D2*E2</f>
        <v>9095</v>
      </c>
      <c r="H2" s="23">
        <f>G2*0.2</f>
        <v>1819</v>
      </c>
      <c r="I2" s="20">
        <f>7.5*D2</f>
        <v>127.5</v>
      </c>
      <c r="J2" s="24" t="s">
        <v>27</v>
      </c>
      <c r="K2" s="19"/>
    </row>
    <row r="3" spans="1:25" ht="14.25" customHeight="1" x14ac:dyDescent="0.2">
      <c r="A3" s="7"/>
      <c r="B3" s="7"/>
      <c r="C3" s="8"/>
      <c r="D3" s="9"/>
      <c r="E3" s="10"/>
      <c r="F3" s="8"/>
      <c r="G3" s="11"/>
      <c r="H3" s="11"/>
      <c r="J3" s="12"/>
    </row>
    <row r="4" spans="1:25" ht="14.25" customHeight="1" x14ac:dyDescent="0.2">
      <c r="A4" s="7"/>
      <c r="B4" s="7"/>
      <c r="C4" s="8"/>
      <c r="D4" s="9"/>
      <c r="E4" s="10"/>
      <c r="F4" s="8"/>
      <c r="G4" s="11"/>
      <c r="H4" s="11"/>
      <c r="J4" s="12"/>
    </row>
    <row r="5" spans="1:25" ht="14.25" customHeight="1" x14ac:dyDescent="0.2">
      <c r="A5" s="7"/>
      <c r="B5" s="7"/>
      <c r="C5" s="8"/>
      <c r="D5" s="9"/>
      <c r="E5" s="10"/>
      <c r="F5" s="8"/>
      <c r="G5" s="11"/>
      <c r="H5" s="11"/>
      <c r="J5" s="12"/>
    </row>
    <row r="6" spans="1:25" ht="14.25" customHeight="1" x14ac:dyDescent="0.2">
      <c r="A6" s="7"/>
      <c r="B6" s="7"/>
      <c r="C6" s="8"/>
      <c r="D6" s="9"/>
      <c r="E6" s="10"/>
      <c r="F6" s="8"/>
      <c r="G6" s="11"/>
      <c r="H6" s="11"/>
      <c r="J6" s="12"/>
    </row>
    <row r="7" spans="1:25" ht="14.25" customHeight="1" x14ac:dyDescent="0.2">
      <c r="A7" s="7"/>
      <c r="B7" s="7"/>
      <c r="C7" s="8"/>
      <c r="D7" s="9"/>
      <c r="E7" s="10"/>
      <c r="F7" s="8"/>
      <c r="G7" s="11"/>
      <c r="H7" s="11"/>
      <c r="J7" s="12"/>
    </row>
    <row r="8" spans="1:25" ht="14.25" customHeight="1" x14ac:dyDescent="0.2"/>
    <row r="9" spans="1:25" ht="14.25" customHeight="1" x14ac:dyDescent="0.2">
      <c r="D9" s="9"/>
    </row>
    <row r="10" spans="1:25" ht="14.25" customHeight="1" x14ac:dyDescent="0.2"/>
    <row r="11" spans="1:25" ht="14.25" customHeight="1" x14ac:dyDescent="0.2"/>
    <row r="12" spans="1:25" ht="14.25" customHeight="1" x14ac:dyDescent="0.2"/>
    <row r="13" spans="1:25" ht="14.25" customHeight="1" x14ac:dyDescent="0.2"/>
    <row r="14" spans="1:25" ht="14.25" customHeight="1" x14ac:dyDescent="0.2"/>
    <row r="15" spans="1:25" ht="14.25" customHeight="1" x14ac:dyDescent="0.2"/>
    <row r="16" spans="1:2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dataValidations count="1">
    <dataValidation type="list" allowBlank="1" showErrorMessage="1" sqref="F2:F7" xr:uid="{00000000-0002-0000-0200-000000000000}">
      <formula1>"hour,day,expense,credit"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030723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Sian Hawkins</dc:creator>
  <cp:lastModifiedBy>Gianluca Formica</cp:lastModifiedBy>
  <dcterms:created xsi:type="dcterms:W3CDTF">2019-05-09T11:16:34Z</dcterms:created>
  <dcterms:modified xsi:type="dcterms:W3CDTF">2025-05-06T14:42:03Z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