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7th April to 4th May 2025/"/>
    </mc:Choice>
  </mc:AlternateContent>
  <xr:revisionPtr revIDLastSave="0" documentId="13_ncr:1_{25A8A24D-44F5-324D-9D44-6D78D0DA3D60}" xr6:coauthVersionLast="47" xr6:coauthVersionMax="47" xr10:uidLastSave="{00000000-0000-0000-0000-000000000000}"/>
  <bookViews>
    <workbookView xWindow="0" yWindow="500" windowWidth="50240" windowHeight="28300" activeTab="1" xr2:uid="{00000000-000D-0000-FFFF-FFFF00000000}"/>
  </bookViews>
  <sheets>
    <sheet name="030723" sheetId="2" state="hidden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X64nQyIPPXX0Lw4oDlOmKKjrn23qckynZ4C+V7uZnM="/>
    </ext>
  </extLst>
</workbook>
</file>

<file path=xl/calcChain.xml><?xml version="1.0" encoding="utf-8"?>
<calcChain xmlns="http://schemas.openxmlformats.org/spreadsheetml/2006/main">
  <c r="G4" i="3" l="1"/>
  <c r="H4" i="3" s="1"/>
  <c r="I4" i="3"/>
  <c r="E4" i="3"/>
  <c r="E9" i="3"/>
  <c r="G9" i="3" s="1"/>
  <c r="H9" i="3" s="1"/>
  <c r="I10" i="3"/>
  <c r="G10" i="3"/>
  <c r="H10" i="3" s="1"/>
  <c r="I9" i="3"/>
  <c r="I8" i="3"/>
  <c r="G8" i="3"/>
  <c r="H8" i="3" s="1"/>
  <c r="I7" i="3"/>
  <c r="G7" i="3"/>
  <c r="H7" i="3" s="1"/>
  <c r="I6" i="3"/>
  <c r="G6" i="3"/>
  <c r="H6" i="3" s="1"/>
  <c r="I5" i="3"/>
  <c r="G5" i="3"/>
  <c r="H5" i="3" s="1"/>
  <c r="I3" i="3"/>
  <c r="G3" i="3"/>
  <c r="H3" i="3" s="1"/>
  <c r="I2" i="3"/>
  <c r="G2" i="3"/>
  <c r="H2" i="3" s="1"/>
  <c r="J13" i="2"/>
  <c r="G13" i="2"/>
  <c r="H13" i="2" s="1"/>
  <c r="J12" i="2"/>
  <c r="G12" i="2"/>
  <c r="H12" i="2" s="1"/>
  <c r="J11" i="2"/>
  <c r="G11" i="2"/>
  <c r="H11" i="2" s="1"/>
  <c r="J10" i="2"/>
  <c r="G10" i="2"/>
  <c r="H10" i="2" s="1"/>
  <c r="J9" i="2"/>
  <c r="G9" i="2"/>
  <c r="H9" i="2" s="1"/>
  <c r="J8" i="2"/>
  <c r="G8" i="2"/>
  <c r="H8" i="2" s="1"/>
  <c r="J7" i="2"/>
  <c r="G7" i="2"/>
  <c r="H7" i="2" s="1"/>
  <c r="J6" i="2"/>
  <c r="G6" i="2"/>
  <c r="H6" i="2" s="1"/>
  <c r="J5" i="2"/>
  <c r="G5" i="2"/>
  <c r="H5" i="2" s="1"/>
  <c r="J4" i="2"/>
  <c r="G4" i="2"/>
  <c r="H4" i="2" s="1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<sst xmlns="http://schemas.openxmlformats.org/spreadsheetml/2006/main" count="108" uniqueCount="28">
  <si>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</si>
  <si>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</si>
  <si>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</si>
  <si>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</si>
  <si>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</si>
  <si>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</si>
  <si>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</si>
  <si>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</si>
  <si>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</si>
  <si>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</si>
  <si>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</si>
  <si>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Hunt </t>
  </si>
  <si>
    <t>David</t>
  </si>
  <si>
    <t>day</t>
  </si>
  <si>
    <t>NASA GROUP</t>
  </si>
  <si>
    <t xml:space="preserve">Kayes </t>
  </si>
  <si>
    <t>Kevin</t>
  </si>
  <si>
    <t xml:space="preserve">Breden </t>
  </si>
  <si>
    <t>Barry</t>
  </si>
  <si>
    <t xml:space="preserve">Williams </t>
  </si>
  <si>
    <t>Richard</t>
  </si>
  <si>
    <t xml:space="preserve">Matthews </t>
  </si>
  <si>
    <t>James</t>
  </si>
  <si>
    <t>Diogo</t>
  </si>
  <si>
    <t>notes</t>
  </si>
  <si>
    <t>Yildirim</t>
  </si>
  <si>
    <t>Bilgun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</si>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</sst>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12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</font>
    <font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 (Body)"/>
    </font>
    <font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165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2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165" fontId="2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2" fontId="10" fillId="0" borderId="1" xfId="0" applyNumberFormat="1" applyFont="1" applyBorder="1" applyAlignment="1">
      <alignment horizontal="left"/>
    </xf>
    <xf numFmtId="165" fontId="10" fillId="0" borderId="1" xfId="0" applyNumberFormat="1" applyFont="1" applyBorder="1" applyAlignment="1">
      <alignment horizontal="left"/>
    </xf>
    <xf numFmtId="4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2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5" defaultRowHeight="15" customHeight="1" x14ac:dyDescent="0.2"/>
  <cols>
    <col min="1" max="1" width="15.1640625" customWidth="1"/>
    <col min="2" max="2" width="20.5" customWidth="1"/>
    <col min="3" max="3" width="13.5" customWidth="1"/>
    <col min="4" max="8" width="8.6640625" customWidth="1"/>
    <col min="9" max="9" width="16.6640625" customWidth="1"/>
    <col min="10" max="10" width="8.6640625" customWidth="1"/>
    <col min="11" max="11" width="24.6640625" customWidth="1"/>
    <col min="12" max="26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">
      <c r="A2" s="6">
        <v>812277</v>
      </c>
      <c r="B2" s="7" t="s">
        <v>11</v>
      </c>
      <c r="C2" s="8" t="s">
        <v>12</v>
      </c>
      <c r="D2" s="9">
        <v>5</v>
      </c>
      <c r="E2" s="10">
        <v>472.03</v>
      </c>
      <c r="F2" s="8" t="s">
        <v>13</v>
      </c>
      <c r="G2" s="11">
        <f t="shared" ref="G2:G13" si="0">D2*E2</f>
        <v>2360.1499999999996</v>
      </c>
      <c r="H2" s="11">
        <f t="shared" ref="H2:H13" si="1">G2*IF(I2= "", "0.200", IF(DATEVALUE(DAY(I2) &amp; "/" &amp; MONTH(I2) &amp; "/" &amp; YEAR(I2))&lt; DATEVALUE("01/01/2010"), "0.175", "0.200"))</f>
        <v>472.03</v>
      </c>
      <c r="I2" s="12">
        <v>45102</v>
      </c>
      <c r="J2" s="5">
        <f t="shared" ref="J2:J13" si="2">7.5*D2</f>
        <v>37.5</v>
      </c>
      <c r="K2" s="12" t="s">
        <v>14</v>
      </c>
    </row>
    <row r="3" spans="1:11" ht="14.25" customHeight="1" x14ac:dyDescent="0.2">
      <c r="A3" s="6">
        <v>814829</v>
      </c>
      <c r="B3" s="7" t="s">
        <v>15</v>
      </c>
      <c r="C3" s="8" t="s">
        <v>16</v>
      </c>
      <c r="D3" s="9">
        <v>3</v>
      </c>
      <c r="E3" s="10">
        <v>534.96</v>
      </c>
      <c r="F3" s="8" t="s">
        <v>13</v>
      </c>
      <c r="G3" s="11">
        <f t="shared" si="0"/>
        <v>1604.88</v>
      </c>
      <c r="H3" s="11">
        <f t="shared" si="1"/>
        <v>320.97600000000006</v>
      </c>
      <c r="I3" s="12">
        <v>45102</v>
      </c>
      <c r="J3" s="5">
        <f t="shared" si="2"/>
        <v>22.5</v>
      </c>
      <c r="K3" s="12" t="s">
        <v>14</v>
      </c>
    </row>
    <row r="4" spans="1:11" ht="14.25" customHeight="1" x14ac:dyDescent="0.2">
      <c r="A4" s="13">
        <v>825675</v>
      </c>
      <c r="B4" s="7" t="s">
        <v>17</v>
      </c>
      <c r="C4" s="8" t="s">
        <v>18</v>
      </c>
      <c r="D4" s="9">
        <v>3.5</v>
      </c>
      <c r="E4" s="10">
        <v>438.43</v>
      </c>
      <c r="F4" s="8" t="s">
        <v>13</v>
      </c>
      <c r="G4" s="11">
        <f t="shared" si="0"/>
        <v>1534.5050000000001</v>
      </c>
      <c r="H4" s="11">
        <f t="shared" si="1"/>
        <v>306.90100000000001</v>
      </c>
      <c r="I4" s="12">
        <v>45102</v>
      </c>
      <c r="J4" s="5">
        <f t="shared" si="2"/>
        <v>26.25</v>
      </c>
      <c r="K4" s="12" t="s">
        <v>14</v>
      </c>
    </row>
    <row r="5" spans="1:11" ht="14.25" customHeight="1" x14ac:dyDescent="0.2">
      <c r="A5" s="13">
        <v>814233</v>
      </c>
      <c r="B5" s="7" t="s">
        <v>19</v>
      </c>
      <c r="C5" s="8" t="s">
        <v>20</v>
      </c>
      <c r="D5" s="9">
        <v>4</v>
      </c>
      <c r="E5" s="10">
        <v>450</v>
      </c>
      <c r="F5" s="8" t="s">
        <v>13</v>
      </c>
      <c r="G5" s="11">
        <f t="shared" si="0"/>
        <v>1800</v>
      </c>
      <c r="H5" s="11">
        <f t="shared" si="1"/>
        <v>360</v>
      </c>
      <c r="I5" s="12">
        <v>45102</v>
      </c>
      <c r="J5" s="5">
        <f t="shared" si="2"/>
        <v>30</v>
      </c>
      <c r="K5" s="12" t="s">
        <v>14</v>
      </c>
    </row>
    <row r="6" spans="1:11" ht="14.25" customHeight="1" x14ac:dyDescent="0.2">
      <c r="A6" s="6">
        <v>829112</v>
      </c>
      <c r="B6" s="7" t="s">
        <v>21</v>
      </c>
      <c r="C6" s="8" t="s">
        <v>22</v>
      </c>
      <c r="D6" s="9">
        <v>4</v>
      </c>
      <c r="E6" s="10">
        <v>490</v>
      </c>
      <c r="F6" s="8" t="s">
        <v>13</v>
      </c>
      <c r="G6" s="11">
        <f t="shared" si="0"/>
        <v>1960</v>
      </c>
      <c r="H6" s="11">
        <f t="shared" si="1"/>
        <v>392</v>
      </c>
      <c r="I6" s="12">
        <v>45102</v>
      </c>
      <c r="J6" s="5">
        <f t="shared" si="2"/>
        <v>30</v>
      </c>
      <c r="K6" s="12" t="s">
        <v>14</v>
      </c>
    </row>
    <row r="7" spans="1:11" ht="14.25" customHeight="1" x14ac:dyDescent="0.2">
      <c r="A7" s="6">
        <v>808042</v>
      </c>
      <c r="B7" s="7" t="s">
        <v>23</v>
      </c>
      <c r="C7" s="8" t="s">
        <v>23</v>
      </c>
      <c r="D7" s="9">
        <v>5</v>
      </c>
      <c r="E7" s="10">
        <v>547.51</v>
      </c>
      <c r="F7" s="8" t="s">
        <v>13</v>
      </c>
      <c r="G7" s="11">
        <f t="shared" si="0"/>
        <v>2737.55</v>
      </c>
      <c r="H7" s="11">
        <f t="shared" si="1"/>
        <v>547.5100000000001</v>
      </c>
      <c r="I7" s="12">
        <v>45102</v>
      </c>
      <c r="J7" s="5">
        <f t="shared" si="2"/>
        <v>37.5</v>
      </c>
      <c r="K7" s="12" t="s">
        <v>14</v>
      </c>
    </row>
    <row r="8" spans="1:11" ht="14.25" customHeight="1" x14ac:dyDescent="0.2">
      <c r="A8" s="6">
        <v>812277</v>
      </c>
      <c r="B8" s="7" t="s">
        <v>11</v>
      </c>
      <c r="C8" s="8" t="s">
        <v>12</v>
      </c>
      <c r="D8" s="9">
        <v>5</v>
      </c>
      <c r="E8" s="10">
        <v>472.03</v>
      </c>
      <c r="F8" s="8" t="s">
        <v>13</v>
      </c>
      <c r="G8" s="11">
        <f t="shared" si="0"/>
        <v>2360.1499999999996</v>
      </c>
      <c r="H8" s="11">
        <f t="shared" si="1"/>
        <v>472.03</v>
      </c>
      <c r="I8" s="12">
        <v>45109</v>
      </c>
      <c r="J8" s="5">
        <f t="shared" si="2"/>
        <v>37.5</v>
      </c>
      <c r="K8" s="12" t="s">
        <v>14</v>
      </c>
    </row>
    <row r="9" spans="1:11" ht="14.25" customHeight="1" x14ac:dyDescent="0.2">
      <c r="A9" s="6">
        <v>814829</v>
      </c>
      <c r="B9" s="7" t="s">
        <v>15</v>
      </c>
      <c r="C9" s="8" t="s">
        <v>16</v>
      </c>
      <c r="D9" s="9">
        <v>3</v>
      </c>
      <c r="E9" s="10">
        <v>534.96</v>
      </c>
      <c r="F9" s="8" t="s">
        <v>13</v>
      </c>
      <c r="G9" s="11">
        <f t="shared" si="0"/>
        <v>1604.88</v>
      </c>
      <c r="H9" s="11">
        <f t="shared" si="1"/>
        <v>320.97600000000006</v>
      </c>
      <c r="I9" s="12">
        <v>45109</v>
      </c>
      <c r="J9" s="5">
        <f t="shared" si="2"/>
        <v>22.5</v>
      </c>
      <c r="K9" s="12" t="s">
        <v>14</v>
      </c>
    </row>
    <row r="10" spans="1:11" ht="14.25" customHeight="1" x14ac:dyDescent="0.2">
      <c r="A10" s="13">
        <v>825675</v>
      </c>
      <c r="B10" s="7" t="s">
        <v>17</v>
      </c>
      <c r="C10" s="8" t="s">
        <v>18</v>
      </c>
      <c r="D10" s="9">
        <v>0</v>
      </c>
      <c r="E10" s="10">
        <v>438.43</v>
      </c>
      <c r="F10" s="8" t="s">
        <v>13</v>
      </c>
      <c r="G10" s="11">
        <f t="shared" si="0"/>
        <v>0</v>
      </c>
      <c r="H10" s="11">
        <f t="shared" si="1"/>
        <v>0</v>
      </c>
      <c r="I10" s="12">
        <v>45109</v>
      </c>
      <c r="J10" s="5">
        <f t="shared" si="2"/>
        <v>0</v>
      </c>
      <c r="K10" s="12" t="s">
        <v>14</v>
      </c>
    </row>
    <row r="11" spans="1:11" ht="14.25" customHeight="1" x14ac:dyDescent="0.2">
      <c r="A11" s="13">
        <v>814233</v>
      </c>
      <c r="B11" s="7" t="s">
        <v>19</v>
      </c>
      <c r="C11" s="8" t="s">
        <v>20</v>
      </c>
      <c r="D11" s="9">
        <v>4</v>
      </c>
      <c r="E11" s="10">
        <v>450</v>
      </c>
      <c r="F11" s="8" t="s">
        <v>13</v>
      </c>
      <c r="G11" s="11">
        <f t="shared" si="0"/>
        <v>1800</v>
      </c>
      <c r="H11" s="11">
        <f t="shared" si="1"/>
        <v>360</v>
      </c>
      <c r="I11" s="12">
        <v>45109</v>
      </c>
      <c r="J11" s="5">
        <f t="shared" si="2"/>
        <v>30</v>
      </c>
      <c r="K11" s="12" t="s">
        <v>14</v>
      </c>
    </row>
    <row r="12" spans="1:11" ht="14.25" customHeight="1" x14ac:dyDescent="0.2">
      <c r="A12" s="6">
        <v>829112</v>
      </c>
      <c r="B12" s="7" t="s">
        <v>21</v>
      </c>
      <c r="C12" s="8" t="s">
        <v>22</v>
      </c>
      <c r="D12" s="9">
        <v>5</v>
      </c>
      <c r="E12" s="10">
        <v>490</v>
      </c>
      <c r="F12" s="8" t="s">
        <v>13</v>
      </c>
      <c r="G12" s="11">
        <f t="shared" si="0"/>
        <v>2450</v>
      </c>
      <c r="H12" s="11">
        <f t="shared" si="1"/>
        <v>490</v>
      </c>
      <c r="I12" s="12">
        <v>45109</v>
      </c>
      <c r="J12" s="5">
        <f t="shared" si="2"/>
        <v>37.5</v>
      </c>
      <c r="K12" s="12" t="s">
        <v>14</v>
      </c>
    </row>
    <row r="13" spans="1:11" ht="14.25" customHeight="1" x14ac:dyDescent="0.2">
      <c r="A13" s="6">
        <v>808042</v>
      </c>
      <c r="B13" s="7" t="s">
        <v>23</v>
      </c>
      <c r="C13" s="8" t="s">
        <v>23</v>
      </c>
      <c r="D13" s="9">
        <v>5</v>
      </c>
      <c r="E13" s="10">
        <v>547.51</v>
      </c>
      <c r="F13" s="8" t="s">
        <v>13</v>
      </c>
      <c r="G13" s="11">
        <f t="shared" si="0"/>
        <v>2737.55</v>
      </c>
      <c r="H13" s="11">
        <f t="shared" si="1"/>
        <v>547.5100000000001</v>
      </c>
      <c r="I13" s="12">
        <v>45109</v>
      </c>
      <c r="J13" s="5">
        <f t="shared" si="2"/>
        <v>37.5</v>
      </c>
      <c r="K13" s="12" t="s">
        <v>14</v>
      </c>
    </row>
    <row r="14" spans="1:11" ht="14.25" customHeight="1" x14ac:dyDescent="0.2"/>
    <row r="15" spans="1:11" ht="14.25" customHeight="1" x14ac:dyDescent="0.2"/>
    <row r="16" spans="1:1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2">
    <dataValidation type="date" allowBlank="1" showInputMessage="1" showErrorMessage="1" prompt="Please enter date as yyyy/mm/dd" sqref="I2:I13" xr:uid="{00000000-0002-0000-0100-000000000000}">
      <formula1>36526</formula1>
      <formula2>73051</formula2>
    </dataValidation>
    <dataValidation type="list" allowBlank="1" showErrorMessage="1" sqref="F2:F13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64"/>
  <sheetViews>
    <sheetView tabSelected="1" zoomScale="140" zoomScaleNormal="140" workbookViewId="0">
      <selection activeCell="E18" sqref="E18"/>
    </sheetView>
  </sheetViews>
  <sheetFormatPr baseColWidth="10" defaultColWidth="14.5" defaultRowHeight="15" customHeight="1" x14ac:dyDescent="0.2"/>
  <cols>
    <col min="1" max="1" width="21.33203125" customWidth="1"/>
    <col min="2" max="2" width="17.83203125" customWidth="1"/>
    <col min="3" max="3" width="13.1640625" customWidth="1"/>
    <col min="4" max="4" width="11.6640625" customWidth="1"/>
    <col min="5" max="5" width="14.5" customWidth="1"/>
    <col min="6" max="6" width="10.5" customWidth="1"/>
    <col min="7" max="7" width="15" customWidth="1"/>
    <col min="8" max="8" width="13.5" customWidth="1"/>
    <col min="9" max="9" width="24.6640625" customWidth="1"/>
    <col min="10" max="10" width="17.33203125" customWidth="1"/>
    <col min="11" max="11" width="56" customWidth="1"/>
    <col min="12" max="25" width="8.6640625" customWidth="1"/>
  </cols>
  <sheetData>
    <row r="1" spans="1:25" ht="14.25" customHeight="1" x14ac:dyDescent="0.2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4" t="s">
        <v>5</v>
      </c>
      <c r="G1" s="16" t="s">
        <v>6</v>
      </c>
      <c r="H1" s="16" t="s">
        <v>7</v>
      </c>
      <c r="I1" s="14" t="s">
        <v>9</v>
      </c>
      <c r="J1" s="17" t="s">
        <v>10</v>
      </c>
      <c r="K1" s="17" t="s">
        <v>24</v>
      </c>
      <c r="L1" s="18"/>
      <c r="M1" s="18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14.25" customHeight="1" x14ac:dyDescent="0.2">
      <c r="A2" s="20">
        <v>812277</v>
      </c>
      <c r="B2" s="21" t="s">
        <v>11</v>
      </c>
      <c r="C2" s="20" t="s">
        <v>12</v>
      </c>
      <c r="D2" s="22">
        <v>18</v>
      </c>
      <c r="E2" s="23">
        <v>472.03</v>
      </c>
      <c r="F2" s="20" t="s">
        <v>13</v>
      </c>
      <c r="G2" s="24">
        <f t="shared" ref="G2:G10" si="0">D2*E2</f>
        <v>8496.5399999999991</v>
      </c>
      <c r="H2" s="24">
        <f t="shared" ref="H2:H10" si="1">G2*0.2</f>
        <v>1699.308</v>
      </c>
      <c r="I2" s="20">
        <f t="shared" ref="I2:I10" si="2">7.5*D2</f>
        <v>135</v>
      </c>
      <c r="J2" s="25" t="s">
        <v>14</v>
      </c>
      <c r="K2" s="26"/>
      <c r="L2" s="27"/>
      <c r="M2" s="27"/>
    </row>
    <row r="3" spans="1:25" ht="14.25" customHeight="1" x14ac:dyDescent="0.2">
      <c r="A3" s="21">
        <v>825675</v>
      </c>
      <c r="B3" s="21" t="s">
        <v>17</v>
      </c>
      <c r="C3" s="20" t="s">
        <v>18</v>
      </c>
      <c r="D3" s="22">
        <v>13.5</v>
      </c>
      <c r="E3" s="23">
        <v>438.43</v>
      </c>
      <c r="F3" s="20" t="s">
        <v>13</v>
      </c>
      <c r="G3" s="24">
        <f t="shared" si="0"/>
        <v>5918.8050000000003</v>
      </c>
      <c r="H3" s="24">
        <f t="shared" si="1"/>
        <v>1183.7610000000002</v>
      </c>
      <c r="I3" s="20">
        <f t="shared" si="2"/>
        <v>101.25</v>
      </c>
      <c r="J3" s="25" t="s">
        <v>14</v>
      </c>
      <c r="K3" s="26"/>
      <c r="L3" s="27"/>
      <c r="M3" s="27"/>
    </row>
    <row r="4" spans="1:25" s="29" customFormat="1" ht="14.25" customHeight="1" x14ac:dyDescent="0.2">
      <c r="A4" s="39">
        <v>825675</v>
      </c>
      <c r="B4" s="39" t="s">
        <v>17</v>
      </c>
      <c r="C4" s="40" t="s">
        <v>18</v>
      </c>
      <c r="D4" s="41">
        <v>1</v>
      </c>
      <c r="E4" s="42">
        <f>E3*1.5</f>
        <v>657.64499999999998</v>
      </c>
      <c r="F4" s="40" t="s">
        <v>13</v>
      </c>
      <c r="G4" s="43">
        <f t="shared" ref="G4" si="3">D4*E4</f>
        <v>657.64499999999998</v>
      </c>
      <c r="H4" s="43">
        <f t="shared" ref="H4" si="4">G4*0.2</f>
        <v>131.529</v>
      </c>
      <c r="I4" s="40">
        <f t="shared" ref="I4" si="5">7.5*D4</f>
        <v>7.5</v>
      </c>
      <c r="J4" s="36" t="s">
        <v>14</v>
      </c>
      <c r="K4" s="31" t="s">
        <v>27</v>
      </c>
      <c r="L4" s="28"/>
      <c r="M4" s="28"/>
    </row>
    <row r="5" spans="1:25" ht="14.25" customHeight="1" x14ac:dyDescent="0.2">
      <c r="A5" s="21">
        <v>814233</v>
      </c>
      <c r="B5" s="21" t="s">
        <v>19</v>
      </c>
      <c r="C5" s="20" t="s">
        <v>20</v>
      </c>
      <c r="D5" s="22">
        <v>18</v>
      </c>
      <c r="E5" s="23">
        <v>450</v>
      </c>
      <c r="F5" s="20" t="s">
        <v>13</v>
      </c>
      <c r="G5" s="24">
        <f t="shared" si="0"/>
        <v>8100</v>
      </c>
      <c r="H5" s="24">
        <f t="shared" si="1"/>
        <v>1620</v>
      </c>
      <c r="I5" s="20">
        <f t="shared" si="2"/>
        <v>135</v>
      </c>
      <c r="J5" s="25" t="s">
        <v>14</v>
      </c>
      <c r="K5" s="26"/>
      <c r="L5" s="27"/>
      <c r="M5" s="27"/>
    </row>
    <row r="6" spans="1:25" ht="14.25" customHeight="1" x14ac:dyDescent="0.2">
      <c r="A6" s="21">
        <v>829112</v>
      </c>
      <c r="B6" s="21" t="s">
        <v>21</v>
      </c>
      <c r="C6" s="20" t="s">
        <v>22</v>
      </c>
      <c r="D6" s="22">
        <v>17</v>
      </c>
      <c r="E6" s="23">
        <v>490</v>
      </c>
      <c r="F6" s="20" t="s">
        <v>13</v>
      </c>
      <c r="G6" s="24">
        <f t="shared" si="0"/>
        <v>8330</v>
      </c>
      <c r="H6" s="24">
        <f t="shared" si="1"/>
        <v>1666</v>
      </c>
      <c r="I6" s="20">
        <f t="shared" si="2"/>
        <v>127.5</v>
      </c>
      <c r="J6" s="25" t="s">
        <v>14</v>
      </c>
      <c r="K6" s="26"/>
      <c r="L6" s="27"/>
      <c r="M6" s="27"/>
    </row>
    <row r="7" spans="1:25" ht="14.25" customHeight="1" x14ac:dyDescent="0.2">
      <c r="A7" s="20">
        <v>841360</v>
      </c>
      <c r="B7" s="21" t="s">
        <v>25</v>
      </c>
      <c r="C7" s="20" t="s">
        <v>26</v>
      </c>
      <c r="D7" s="22">
        <v>16</v>
      </c>
      <c r="E7" s="23">
        <v>580</v>
      </c>
      <c r="F7" s="20" t="s">
        <v>13</v>
      </c>
      <c r="G7" s="24">
        <f t="shared" si="0"/>
        <v>9280</v>
      </c>
      <c r="H7" s="24">
        <f t="shared" si="1"/>
        <v>1856</v>
      </c>
      <c r="I7" s="20">
        <f t="shared" si="2"/>
        <v>120</v>
      </c>
      <c r="J7" s="25" t="s">
        <v>14</v>
      </c>
      <c r="K7" s="26"/>
      <c r="L7" s="27"/>
      <c r="M7" s="27"/>
    </row>
    <row r="8" spans="1:25" ht="14.25" customHeight="1" x14ac:dyDescent="0.2">
      <c r="A8" s="20">
        <v>814829</v>
      </c>
      <c r="B8" s="21" t="s">
        <v>15</v>
      </c>
      <c r="C8" s="20" t="s">
        <v>16</v>
      </c>
      <c r="D8" s="22">
        <v>18</v>
      </c>
      <c r="E8" s="23">
        <v>544.96</v>
      </c>
      <c r="F8" s="20" t="s">
        <v>13</v>
      </c>
      <c r="G8" s="24">
        <f t="shared" si="0"/>
        <v>9809.2800000000007</v>
      </c>
      <c r="H8" s="24">
        <f t="shared" si="1"/>
        <v>1961.8560000000002</v>
      </c>
      <c r="I8" s="20">
        <f t="shared" si="2"/>
        <v>135</v>
      </c>
      <c r="J8" s="25" t="s">
        <v>14</v>
      </c>
      <c r="K8" s="20"/>
      <c r="L8" s="27"/>
      <c r="M8" s="27"/>
    </row>
    <row r="9" spans="1:25" s="38" customFormat="1" ht="14.25" customHeight="1" x14ac:dyDescent="0.2">
      <c r="A9" s="31">
        <v>814829</v>
      </c>
      <c r="B9" s="32" t="s">
        <v>15</v>
      </c>
      <c r="C9" s="31" t="s">
        <v>16</v>
      </c>
      <c r="D9" s="33">
        <v>2.5</v>
      </c>
      <c r="E9" s="34">
        <f>E8*1.5</f>
        <v>817.44</v>
      </c>
      <c r="F9" s="31" t="s">
        <v>13</v>
      </c>
      <c r="G9" s="35">
        <f t="shared" si="0"/>
        <v>2043.6000000000001</v>
      </c>
      <c r="H9" s="35">
        <f t="shared" si="1"/>
        <v>408.72</v>
      </c>
      <c r="I9" s="31">
        <f t="shared" si="2"/>
        <v>18.75</v>
      </c>
      <c r="J9" s="36" t="s">
        <v>14</v>
      </c>
      <c r="K9" s="31" t="s">
        <v>27</v>
      </c>
      <c r="L9" s="37"/>
      <c r="M9" s="37"/>
    </row>
    <row r="10" spans="1:25" ht="14.25" customHeight="1" x14ac:dyDescent="0.2">
      <c r="A10" s="20">
        <v>808042</v>
      </c>
      <c r="B10" s="21" t="s">
        <v>23</v>
      </c>
      <c r="C10" s="20" t="s">
        <v>23</v>
      </c>
      <c r="D10" s="22">
        <v>16</v>
      </c>
      <c r="E10" s="23">
        <v>557.51</v>
      </c>
      <c r="F10" s="20" t="s">
        <v>13</v>
      </c>
      <c r="G10" s="24">
        <f t="shared" si="0"/>
        <v>8920.16</v>
      </c>
      <c r="H10" s="24">
        <f t="shared" si="1"/>
        <v>1784.0320000000002</v>
      </c>
      <c r="I10" s="20">
        <f t="shared" si="2"/>
        <v>120</v>
      </c>
      <c r="J10" s="25" t="s">
        <v>14</v>
      </c>
      <c r="K10" s="20"/>
      <c r="L10" s="27"/>
      <c r="M10" s="27"/>
    </row>
    <row r="11" spans="1:25" ht="14.25" customHeight="1" x14ac:dyDescent="0.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25" ht="14.25" customHeight="1" x14ac:dyDescent="0.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1:25" ht="14.25" customHeight="1" x14ac:dyDescent="0.2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pans="1:25" ht="14.25" customHeight="1" x14ac:dyDescent="0.2">
      <c r="A14" s="27"/>
      <c r="B14" s="27"/>
      <c r="C14" s="27"/>
      <c r="D14" s="27"/>
      <c r="E14" s="30"/>
      <c r="F14" s="27"/>
      <c r="G14" s="27"/>
      <c r="H14" s="27"/>
      <c r="I14" s="27"/>
      <c r="J14" s="27"/>
      <c r="K14" s="27"/>
      <c r="L14" s="27"/>
      <c r="M14" s="27"/>
    </row>
    <row r="15" spans="1:25" ht="14.25" customHeight="1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spans="1:25" ht="14.25" customHeight="1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spans="1:13" ht="14.25" customHeight="1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spans="1:13" ht="14.25" customHeight="1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spans="1:13" ht="14.25" customHeight="1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spans="1:13" ht="14.25" customHeight="1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14.25" customHeight="1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14.25" customHeight="1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14.25" customHeight="1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spans="1:13" ht="14.25" customHeight="1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14.25" customHeight="1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14.25" customHeight="1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14.25" customHeight="1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14.25" customHeight="1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ht="14.25" customHeight="1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spans="1:13" ht="14.25" customHeight="1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spans="1:13" ht="14.2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spans="1:13" ht="14.25" customHeight="1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ht="14.25" customHeight="1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spans="1:13" ht="14.25" customHeight="1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spans="1:13" ht="14.25" customHeight="1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spans="1:13" ht="14.25" customHeight="1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spans="1:13" ht="14.25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1:13" ht="14.25" customHeight="1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spans="1:13" ht="14.25" customHeight="1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 ht="14.25" customHeight="1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ht="14.25" customHeight="1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ht="14.25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3" ht="14.25" customHeight="1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spans="1:13" ht="14.25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</row>
    <row r="45" spans="1:13" ht="14.25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1:13" ht="14.25" customHeight="1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spans="1:13" ht="14.25" customHeight="1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</row>
    <row r="48" spans="1:13" ht="14.25" customHeight="1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spans="1:13" ht="14.25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spans="1:13" ht="14.25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ht="14.25" customHeight="1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13" ht="14.25" customHeight="1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13" ht="14.25" customHeight="1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13" ht="14.25" customHeight="1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spans="1:13" ht="14.25" customHeight="1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ht="14.25" customHeight="1" x14ac:dyDescent="0.2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</row>
    <row r="57" spans="1:13" ht="14.25" customHeight="1" x14ac:dyDescent="0.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spans="1:13" ht="14.25" customHeight="1" x14ac:dyDescent="0.2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spans="1:13" ht="14.25" customHeight="1" x14ac:dyDescent="0.2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spans="1:13" ht="14.25" customHeight="1" x14ac:dyDescent="0.2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spans="1:13" ht="14.25" customHeight="1" x14ac:dyDescent="0.2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spans="1:13" ht="14.25" customHeight="1" x14ac:dyDescent="0.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</row>
    <row r="63" spans="1:13" ht="14.25" customHeight="1" x14ac:dyDescent="0.2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spans="1:13" ht="14.25" customHeight="1" x14ac:dyDescent="0.2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ht="14.25" customHeight="1" x14ac:dyDescent="0.2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spans="1:13" ht="14.25" customHeight="1" x14ac:dyDescent="0.2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spans="1:13" ht="14.25" customHeigh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spans="1:13" ht="14.25" customHeight="1" x14ac:dyDescent="0.2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1:13" ht="14.25" customHeight="1" x14ac:dyDescent="0.2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ht="14.25" customHeight="1" x14ac:dyDescent="0.2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spans="1:13" ht="14.25" customHeight="1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</row>
    <row r="72" spans="1:13" ht="14.25" customHeight="1" x14ac:dyDescent="0.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</row>
    <row r="73" spans="1:13" ht="14.25" customHeight="1" x14ac:dyDescent="0.2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1:13" ht="14.25" customHeight="1" x14ac:dyDescent="0.2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</row>
    <row r="75" spans="1:13" ht="14.25" customHeight="1" x14ac:dyDescent="0.2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</row>
    <row r="76" spans="1:13" ht="14.25" customHeight="1" x14ac:dyDescent="0.2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</row>
    <row r="77" spans="1:13" ht="14.25" customHeight="1" x14ac:dyDescent="0.2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</row>
    <row r="78" spans="1:13" ht="14.25" customHeight="1" x14ac:dyDescent="0.2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</row>
    <row r="79" spans="1:13" ht="14.25" customHeight="1" x14ac:dyDescent="0.2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</row>
    <row r="80" spans="1:13" ht="14.25" customHeight="1" x14ac:dyDescent="0.2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1:13" ht="14.25" customHeight="1" x14ac:dyDescent="0.2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ht="14.25" customHeight="1" x14ac:dyDescent="0.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  <row r="83" spans="1:13" ht="14.25" customHeight="1" x14ac:dyDescent="0.2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</row>
    <row r="84" spans="1:13" ht="14.25" customHeight="1" x14ac:dyDescent="0.2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spans="1:13" ht="14.25" customHeight="1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1:13" ht="14.25" customHeight="1" x14ac:dyDescent="0.2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</row>
    <row r="87" spans="1:13" ht="14.25" customHeight="1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</row>
    <row r="88" spans="1:13" ht="14.25" customHeight="1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</row>
    <row r="89" spans="1:13" ht="14.25" customHeight="1" x14ac:dyDescent="0.2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1:13" ht="14.25" customHeight="1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</row>
    <row r="91" spans="1:13" ht="14.25" customHeight="1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</row>
    <row r="92" spans="1:13" ht="14.25" customHeight="1" x14ac:dyDescent="0.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</row>
    <row r="93" spans="1:13" ht="14.25" customHeight="1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4.25" customHeight="1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4.25" customHeight="1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customHeight="1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  <row r="97" spans="1:13" ht="14.2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</row>
    <row r="98" spans="1:13" ht="14.25" customHeight="1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</row>
    <row r="99" spans="1:13" ht="14.25" customHeight="1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</row>
    <row r="100" spans="1:13" ht="14.25" customHeight="1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</row>
    <row r="101" spans="1:13" ht="14.25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</row>
    <row r="102" spans="1:13" ht="14.25" customHeight="1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</row>
    <row r="103" spans="1:13" ht="14.25" customHeight="1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</row>
    <row r="104" spans="1:13" ht="14.25" customHeight="1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</row>
    <row r="105" spans="1:13" ht="14.25" customHeight="1" x14ac:dyDescent="0.2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</row>
    <row r="106" spans="1:13" ht="14.25" customHeight="1" x14ac:dyDescent="0.2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</row>
    <row r="107" spans="1:13" ht="14.25" customHeight="1" x14ac:dyDescent="0.2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</row>
    <row r="108" spans="1:13" ht="14.25" customHeight="1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</row>
    <row r="109" spans="1:13" ht="14.25" customHeight="1" x14ac:dyDescent="0.2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</row>
    <row r="110" spans="1:13" ht="14.25" customHeight="1" x14ac:dyDescent="0.2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</row>
    <row r="111" spans="1:13" ht="14.25" customHeight="1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</row>
    <row r="112" spans="1:13" ht="14.25" customHeight="1" x14ac:dyDescent="0.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</row>
    <row r="113" spans="1:13" ht="14.25" customHeight="1" x14ac:dyDescent="0.2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</row>
    <row r="114" spans="1:13" ht="14.25" customHeight="1" x14ac:dyDescent="0.2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</row>
    <row r="115" spans="1:13" ht="14.25" customHeight="1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</row>
    <row r="116" spans="1:13" ht="14.25" customHeight="1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</row>
    <row r="117" spans="1:13" ht="14.25" customHeight="1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</row>
    <row r="118" spans="1:13" ht="14.25" customHeight="1" x14ac:dyDescent="0.2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</row>
    <row r="119" spans="1:13" ht="14.25" customHeight="1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</row>
    <row r="120" spans="1:13" ht="14.25" customHeight="1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</row>
    <row r="121" spans="1:13" ht="14.25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</row>
    <row r="122" spans="1:13" ht="14.25" customHeight="1" x14ac:dyDescent="0.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</row>
    <row r="123" spans="1:13" ht="14.25" customHeight="1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</row>
    <row r="124" spans="1:13" ht="14.25" customHeight="1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</row>
    <row r="125" spans="1:13" ht="14.25" customHeight="1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</row>
    <row r="126" spans="1:13" ht="14.25" customHeight="1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</row>
    <row r="127" spans="1:13" ht="14.25" customHeight="1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</row>
    <row r="128" spans="1:13" ht="14.25" customHeight="1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</row>
    <row r="129" spans="1:13" ht="14.25" customHeight="1" x14ac:dyDescent="0.2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</row>
    <row r="130" spans="1:13" ht="14.25" customHeight="1" x14ac:dyDescent="0.2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</row>
    <row r="131" spans="1:13" ht="14.25" customHeight="1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</row>
    <row r="132" spans="1:13" ht="14.25" customHeight="1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</row>
    <row r="133" spans="1:13" ht="14.25" customHeight="1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</row>
    <row r="134" spans="1:13" ht="14.25" customHeight="1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</row>
    <row r="135" spans="1:13" ht="14.25" customHeight="1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</row>
    <row r="136" spans="1:13" ht="14.25" customHeight="1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</row>
    <row r="137" spans="1:13" ht="14.25" customHeight="1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</row>
    <row r="138" spans="1:13" ht="14.25" customHeight="1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</row>
    <row r="139" spans="1:13" ht="14.25" customHeight="1" x14ac:dyDescent="0.2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</row>
    <row r="140" spans="1:13" ht="14.25" customHeight="1" x14ac:dyDescent="0.2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</row>
    <row r="141" spans="1:13" ht="14.25" customHeight="1" x14ac:dyDescent="0.2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</row>
    <row r="142" spans="1:13" ht="14.25" customHeight="1" x14ac:dyDescent="0.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</row>
    <row r="143" spans="1:13" ht="14.25" customHeight="1" x14ac:dyDescent="0.2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</row>
    <row r="144" spans="1:13" ht="14.25" customHeight="1" x14ac:dyDescent="0.2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</row>
    <row r="145" spans="1:13" ht="14.25" customHeight="1" x14ac:dyDescent="0.2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</row>
    <row r="146" spans="1:13" ht="14.25" customHeight="1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</row>
    <row r="147" spans="1:13" ht="14.25" customHeight="1" x14ac:dyDescent="0.2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</row>
    <row r="148" spans="1:13" ht="14.25" customHeight="1" x14ac:dyDescent="0.2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</row>
    <row r="149" spans="1:13" ht="14.25" customHeight="1" x14ac:dyDescent="0.2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</row>
    <row r="150" spans="1:13" ht="14.25" customHeight="1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</row>
    <row r="151" spans="1:13" ht="14.25" customHeight="1" x14ac:dyDescent="0.2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</row>
    <row r="152" spans="1:13" ht="14.25" customHeight="1" x14ac:dyDescent="0.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</row>
    <row r="153" spans="1:13" ht="14.25" customHeight="1" x14ac:dyDescent="0.2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</row>
    <row r="154" spans="1:13" ht="14.25" customHeight="1" x14ac:dyDescent="0.2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</row>
    <row r="155" spans="1:13" ht="14.25" customHeight="1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</row>
    <row r="156" spans="1:13" ht="14.25" customHeight="1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</row>
    <row r="157" spans="1:13" ht="14.25" customHeight="1" x14ac:dyDescent="0.2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</row>
    <row r="158" spans="1:13" ht="14.25" customHeight="1" x14ac:dyDescent="0.2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</row>
    <row r="159" spans="1:13" ht="14.25" customHeight="1" x14ac:dyDescent="0.2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</row>
    <row r="160" spans="1:13" ht="14.25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</row>
    <row r="161" spans="1:13" ht="14.25" customHeight="1" x14ac:dyDescent="0.2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</row>
    <row r="162" spans="1:13" ht="14.25" customHeight="1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</row>
    <row r="163" spans="1:13" ht="14.25" customHeight="1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</row>
    <row r="164" spans="1:13" ht="14.25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</row>
    <row r="165" spans="1:13" ht="14.25" customHeight="1" x14ac:dyDescent="0.2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</row>
    <row r="166" spans="1:13" ht="14.25" customHeight="1" x14ac:dyDescent="0.2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</row>
    <row r="167" spans="1:13" ht="14.25" customHeight="1" x14ac:dyDescent="0.2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</row>
    <row r="168" spans="1:13" ht="14.25" customHeight="1" x14ac:dyDescent="0.2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</row>
    <row r="169" spans="1:13" ht="14.25" customHeight="1" x14ac:dyDescent="0.2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</row>
    <row r="170" spans="1:13" ht="14.25" customHeight="1" x14ac:dyDescent="0.2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</row>
    <row r="171" spans="1:13" ht="14.25" customHeight="1" x14ac:dyDescent="0.2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</row>
    <row r="172" spans="1:13" ht="14.25" customHeight="1" x14ac:dyDescent="0.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</row>
    <row r="173" spans="1:13" ht="14.25" customHeight="1" x14ac:dyDescent="0.2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</row>
    <row r="174" spans="1:13" ht="14.25" customHeight="1" x14ac:dyDescent="0.2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</row>
    <row r="175" spans="1:13" ht="14.25" customHeight="1" x14ac:dyDescent="0.2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</row>
    <row r="176" spans="1:13" ht="14.25" customHeight="1" x14ac:dyDescent="0.2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</row>
    <row r="177" spans="1:13" ht="14.25" customHeight="1" x14ac:dyDescent="0.2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</row>
    <row r="178" spans="1:13" ht="14.25" customHeight="1" x14ac:dyDescent="0.2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</row>
    <row r="179" spans="1:13" ht="14.25" customHeight="1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</row>
    <row r="180" spans="1:13" ht="14.25" customHeight="1" x14ac:dyDescent="0.2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</row>
    <row r="181" spans="1:13" ht="14.25" customHeight="1" x14ac:dyDescent="0.2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</row>
    <row r="182" spans="1:13" ht="14.25" customHeight="1" x14ac:dyDescent="0.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</row>
    <row r="183" spans="1:13" ht="14.25" customHeight="1" x14ac:dyDescent="0.2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</row>
    <row r="184" spans="1:13" ht="14.25" customHeight="1" x14ac:dyDescent="0.2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</row>
    <row r="185" spans="1:13" ht="14.25" customHeight="1" x14ac:dyDescent="0.2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</row>
    <row r="186" spans="1:13" ht="14.25" customHeight="1" x14ac:dyDescent="0.2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</row>
    <row r="187" spans="1:13" ht="14.25" customHeight="1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</row>
    <row r="188" spans="1:13" ht="14.25" customHeight="1" x14ac:dyDescent="0.2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</row>
    <row r="189" spans="1:13" ht="14.25" customHeight="1" x14ac:dyDescent="0.2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</row>
    <row r="190" spans="1:13" ht="14.25" customHeight="1" x14ac:dyDescent="0.2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</row>
    <row r="191" spans="1:13" ht="14.25" customHeight="1" x14ac:dyDescent="0.2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</row>
    <row r="192" spans="1:13" ht="14.25" customHeight="1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</row>
    <row r="193" spans="1:13" ht="14.25" customHeight="1" x14ac:dyDescent="0.2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</row>
    <row r="194" spans="1:13" ht="14.25" customHeight="1" x14ac:dyDescent="0.2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</row>
    <row r="195" spans="1:13" ht="14.25" customHeight="1" x14ac:dyDescent="0.2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</row>
    <row r="196" spans="1:13" ht="14.25" customHeight="1" x14ac:dyDescent="0.2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</row>
    <row r="197" spans="1:13" ht="14.25" customHeight="1" x14ac:dyDescent="0.2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</row>
    <row r="198" spans="1:13" ht="14.25" customHeight="1" x14ac:dyDescent="0.2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</row>
    <row r="199" spans="1:13" ht="14.25" customHeight="1" x14ac:dyDescent="0.2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</row>
    <row r="200" spans="1:13" ht="14.25" customHeight="1" x14ac:dyDescent="0.2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</row>
    <row r="201" spans="1:13" ht="14.25" customHeight="1" x14ac:dyDescent="0.2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</row>
    <row r="202" spans="1:13" ht="14.25" customHeight="1" x14ac:dyDescent="0.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</row>
    <row r="203" spans="1:13" ht="14.25" customHeight="1" x14ac:dyDescent="0.2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</row>
    <row r="204" spans="1:13" ht="14.25" customHeight="1" x14ac:dyDescent="0.2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</row>
    <row r="205" spans="1:13" ht="14.25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</row>
    <row r="206" spans="1:13" ht="14.25" customHeight="1" x14ac:dyDescent="0.2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</row>
    <row r="207" spans="1:13" ht="14.25" customHeight="1" x14ac:dyDescent="0.2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</row>
    <row r="208" spans="1:13" ht="14.25" customHeight="1" x14ac:dyDescent="0.2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</row>
    <row r="209" spans="1:13" ht="14.25" customHeight="1" x14ac:dyDescent="0.2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</row>
    <row r="210" spans="1:13" ht="14.25" customHeight="1" x14ac:dyDescent="0.2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</row>
    <row r="211" spans="1:13" ht="14.25" customHeight="1" x14ac:dyDescent="0.2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</row>
    <row r="212" spans="1:13" ht="14.25" customHeight="1" x14ac:dyDescent="0.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</row>
    <row r="213" spans="1:13" ht="14.25" customHeight="1" x14ac:dyDescent="0.2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</row>
    <row r="214" spans="1:13" ht="14.25" customHeight="1" x14ac:dyDescent="0.2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</row>
    <row r="215" spans="1:13" ht="14.25" customHeight="1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</row>
    <row r="216" spans="1:13" ht="14.25" customHeight="1" x14ac:dyDescent="0.2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</row>
    <row r="217" spans="1:13" ht="14.25" customHeight="1" x14ac:dyDescent="0.2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</row>
    <row r="218" spans="1:13" ht="14.25" customHeight="1" x14ac:dyDescent="0.2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</row>
    <row r="219" spans="1:13" ht="14.25" customHeight="1" x14ac:dyDescent="0.2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</row>
    <row r="220" spans="1:13" ht="14.25" customHeight="1" x14ac:dyDescent="0.2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</row>
    <row r="221" spans="1:13" ht="14.25" customHeight="1" x14ac:dyDescent="0.2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</row>
    <row r="222" spans="1:13" ht="14.25" customHeight="1" x14ac:dyDescent="0.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</row>
    <row r="223" spans="1:13" ht="14.25" customHeight="1" x14ac:dyDescent="0.2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</row>
    <row r="224" spans="1:13" ht="14.25" customHeight="1" x14ac:dyDescent="0.2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</row>
    <row r="225" spans="1:13" ht="14.25" customHeight="1" x14ac:dyDescent="0.2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</row>
    <row r="226" spans="1:13" ht="14.25" customHeight="1" x14ac:dyDescent="0.2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</row>
    <row r="227" spans="1:13" ht="14.25" customHeight="1" x14ac:dyDescent="0.2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</row>
    <row r="228" spans="1:13" ht="14.25" customHeight="1" x14ac:dyDescent="0.2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</row>
    <row r="229" spans="1:13" ht="14.25" customHeight="1" x14ac:dyDescent="0.2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</row>
    <row r="230" spans="1:13" ht="14.25" customHeight="1" x14ac:dyDescent="0.2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</row>
    <row r="231" spans="1:13" ht="14.25" customHeight="1" x14ac:dyDescent="0.2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</row>
    <row r="232" spans="1:13" ht="14.25" customHeight="1" x14ac:dyDescent="0.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</row>
    <row r="233" spans="1:13" ht="14.25" customHeight="1" x14ac:dyDescent="0.2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</row>
    <row r="234" spans="1:13" ht="14.25" customHeight="1" x14ac:dyDescent="0.2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</row>
    <row r="235" spans="1:13" ht="14.25" customHeight="1" x14ac:dyDescent="0.2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</row>
    <row r="236" spans="1:13" ht="14.25" customHeight="1" x14ac:dyDescent="0.2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</row>
    <row r="237" spans="1:13" ht="14.25" customHeight="1" x14ac:dyDescent="0.2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</row>
    <row r="238" spans="1:13" ht="14.25" customHeight="1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</row>
    <row r="239" spans="1:13" ht="14.25" customHeight="1" x14ac:dyDescent="0.2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</row>
    <row r="240" spans="1:13" ht="14.25" customHeight="1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</row>
    <row r="241" spans="1:13" ht="14.25" customHeight="1" x14ac:dyDescent="0.2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</row>
    <row r="242" spans="1:13" ht="14.25" customHeight="1" x14ac:dyDescent="0.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</row>
    <row r="243" spans="1:13" ht="14.25" customHeight="1" x14ac:dyDescent="0.2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</row>
    <row r="244" spans="1:13" ht="14.25" customHeight="1" x14ac:dyDescent="0.2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</row>
    <row r="245" spans="1:13" ht="14.25" customHeight="1" x14ac:dyDescent="0.2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</row>
    <row r="246" spans="1:13" ht="14.25" customHeight="1" x14ac:dyDescent="0.2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</row>
    <row r="247" spans="1:13" ht="14.25" customHeight="1" x14ac:dyDescent="0.2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</row>
    <row r="248" spans="1:13" ht="14.25" customHeight="1" x14ac:dyDescent="0.2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</row>
    <row r="249" spans="1:13" ht="14.25" customHeight="1" x14ac:dyDescent="0.2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</row>
    <row r="250" spans="1:13" ht="14.25" customHeight="1" x14ac:dyDescent="0.2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</row>
    <row r="251" spans="1:13" ht="14.25" customHeight="1" x14ac:dyDescent="0.2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</row>
    <row r="252" spans="1:13" ht="14.25" customHeight="1" x14ac:dyDescent="0.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</row>
    <row r="253" spans="1:13" ht="14.25" customHeight="1" x14ac:dyDescent="0.2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</row>
    <row r="254" spans="1:13" ht="14.25" customHeight="1" x14ac:dyDescent="0.2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</row>
    <row r="255" spans="1:13" ht="14.25" customHeight="1" x14ac:dyDescent="0.2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</row>
    <row r="256" spans="1:13" ht="14.25" customHeight="1" x14ac:dyDescent="0.2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</row>
    <row r="257" spans="1:13" ht="14.25" customHeight="1" x14ac:dyDescent="0.2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</row>
    <row r="258" spans="1:13" ht="14.25" customHeight="1" x14ac:dyDescent="0.2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</row>
    <row r="259" spans="1:13" ht="14.25" customHeight="1" x14ac:dyDescent="0.2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</row>
    <row r="260" spans="1:13" ht="14.25" customHeight="1" x14ac:dyDescent="0.2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</row>
    <row r="261" spans="1:13" ht="14.25" customHeight="1" x14ac:dyDescent="0.2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</row>
    <row r="262" spans="1:13" ht="14.25" customHeight="1" x14ac:dyDescent="0.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</row>
    <row r="263" spans="1:13" ht="14.25" customHeight="1" x14ac:dyDescent="0.2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</row>
    <row r="264" spans="1:13" ht="14.25" customHeight="1" x14ac:dyDescent="0.2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</row>
    <row r="265" spans="1:13" ht="14.25" customHeight="1" x14ac:dyDescent="0.2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</row>
    <row r="266" spans="1:13" ht="14.25" customHeight="1" x14ac:dyDescent="0.2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</row>
    <row r="267" spans="1:13" ht="14.25" customHeight="1" x14ac:dyDescent="0.2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</row>
    <row r="268" spans="1:13" ht="14.25" customHeight="1" x14ac:dyDescent="0.2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</row>
    <row r="269" spans="1:13" ht="14.25" customHeight="1" x14ac:dyDescent="0.2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</row>
    <row r="270" spans="1:13" ht="14.25" customHeight="1" x14ac:dyDescent="0.2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</row>
    <row r="271" spans="1:13" ht="14.25" customHeight="1" x14ac:dyDescent="0.2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</row>
    <row r="272" spans="1:13" ht="14.25" customHeight="1" x14ac:dyDescent="0.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</row>
    <row r="273" spans="1:13" ht="14.25" customHeight="1" x14ac:dyDescent="0.2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</row>
    <row r="274" spans="1:13" ht="14.25" customHeight="1" x14ac:dyDescent="0.2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</row>
    <row r="275" spans="1:13" ht="14.25" customHeight="1" x14ac:dyDescent="0.2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</row>
    <row r="276" spans="1:13" ht="14.25" customHeight="1" x14ac:dyDescent="0.2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</row>
    <row r="277" spans="1:13" ht="14.25" customHeight="1" x14ac:dyDescent="0.2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</row>
    <row r="278" spans="1:13" ht="14.25" customHeight="1" x14ac:dyDescent="0.2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</row>
    <row r="279" spans="1:13" ht="14.25" customHeight="1" x14ac:dyDescent="0.2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</row>
    <row r="280" spans="1:13" ht="14.25" customHeight="1" x14ac:dyDescent="0.2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</row>
    <row r="281" spans="1:13" ht="14.25" customHeight="1" x14ac:dyDescent="0.2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</row>
    <row r="282" spans="1:13" ht="14.25" customHeight="1" x14ac:dyDescent="0.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</row>
    <row r="283" spans="1:13" ht="14.25" customHeight="1" x14ac:dyDescent="0.2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</row>
    <row r="284" spans="1:13" ht="14.25" customHeight="1" x14ac:dyDescent="0.2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</row>
    <row r="285" spans="1:13" ht="14.25" customHeight="1" x14ac:dyDescent="0.2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</row>
    <row r="286" spans="1:13" ht="14.25" customHeight="1" x14ac:dyDescent="0.2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</row>
    <row r="287" spans="1:13" ht="14.25" customHeight="1" x14ac:dyDescent="0.2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</row>
    <row r="288" spans="1:13" ht="14.25" customHeight="1" x14ac:dyDescent="0.2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</row>
    <row r="289" spans="1:13" ht="14.25" customHeight="1" x14ac:dyDescent="0.2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</row>
    <row r="290" spans="1:13" ht="14.25" customHeight="1" x14ac:dyDescent="0.2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</row>
    <row r="291" spans="1:13" ht="14.25" customHeight="1" x14ac:dyDescent="0.2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</row>
    <row r="292" spans="1:13" ht="14.25" customHeight="1" x14ac:dyDescent="0.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</row>
    <row r="293" spans="1:13" ht="14.25" customHeight="1" x14ac:dyDescent="0.2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</row>
    <row r="294" spans="1:13" ht="14.25" customHeight="1" x14ac:dyDescent="0.2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</row>
    <row r="295" spans="1:13" ht="14.25" customHeight="1" x14ac:dyDescent="0.2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</row>
    <row r="296" spans="1:13" ht="14.25" customHeight="1" x14ac:dyDescent="0.2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</row>
    <row r="297" spans="1:13" ht="14.25" customHeight="1" x14ac:dyDescent="0.2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</row>
    <row r="298" spans="1:13" ht="14.25" customHeight="1" x14ac:dyDescent="0.2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</row>
    <row r="299" spans="1:13" ht="14.25" customHeight="1" x14ac:dyDescent="0.2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</row>
    <row r="300" spans="1:13" ht="14.25" customHeight="1" x14ac:dyDescent="0.2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</row>
    <row r="301" spans="1:13" ht="14.25" customHeight="1" x14ac:dyDescent="0.2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</row>
    <row r="302" spans="1:13" ht="14.25" customHeight="1" x14ac:dyDescent="0.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</row>
    <row r="303" spans="1:13" ht="14.25" customHeight="1" x14ac:dyDescent="0.2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</row>
    <row r="304" spans="1:13" ht="14.25" customHeight="1" x14ac:dyDescent="0.2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</row>
    <row r="305" spans="1:13" ht="14.25" customHeight="1" x14ac:dyDescent="0.2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</row>
    <row r="306" spans="1:13" ht="14.25" customHeight="1" x14ac:dyDescent="0.2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</row>
    <row r="307" spans="1:13" ht="14.25" customHeight="1" x14ac:dyDescent="0.2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</row>
    <row r="308" spans="1:13" ht="14.25" customHeight="1" x14ac:dyDescent="0.2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</row>
    <row r="309" spans="1:13" ht="14.25" customHeight="1" x14ac:dyDescent="0.2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</row>
    <row r="310" spans="1:13" ht="14.25" customHeight="1" x14ac:dyDescent="0.2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</row>
    <row r="311" spans="1:13" ht="14.25" customHeight="1" x14ac:dyDescent="0.2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</row>
    <row r="312" spans="1:13" ht="14.25" customHeight="1" x14ac:dyDescent="0.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</row>
    <row r="313" spans="1:13" ht="14.25" customHeight="1" x14ac:dyDescent="0.2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</row>
    <row r="314" spans="1:13" ht="14.25" customHeight="1" x14ac:dyDescent="0.2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</row>
    <row r="315" spans="1:13" ht="14.25" customHeight="1" x14ac:dyDescent="0.2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</row>
    <row r="316" spans="1:13" ht="14.25" customHeight="1" x14ac:dyDescent="0.2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</row>
    <row r="317" spans="1:13" ht="14.25" customHeight="1" x14ac:dyDescent="0.2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</row>
    <row r="318" spans="1:13" ht="14.25" customHeight="1" x14ac:dyDescent="0.2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</row>
    <row r="319" spans="1:13" ht="14.25" customHeight="1" x14ac:dyDescent="0.2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</row>
    <row r="320" spans="1:13" ht="14.25" customHeight="1" x14ac:dyDescent="0.2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</row>
    <row r="321" spans="1:13" ht="14.25" customHeight="1" x14ac:dyDescent="0.2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</row>
    <row r="322" spans="1:13" ht="14.25" customHeight="1" x14ac:dyDescent="0.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</row>
    <row r="323" spans="1:13" ht="14.25" customHeight="1" x14ac:dyDescent="0.2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</row>
    <row r="324" spans="1:13" ht="14.25" customHeight="1" x14ac:dyDescent="0.2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</row>
    <row r="325" spans="1:13" ht="14.25" customHeight="1" x14ac:dyDescent="0.2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</row>
    <row r="326" spans="1:13" ht="14.25" customHeight="1" x14ac:dyDescent="0.2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</row>
    <row r="327" spans="1:13" ht="14.25" customHeight="1" x14ac:dyDescent="0.2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</row>
    <row r="328" spans="1:13" ht="14.25" customHeight="1" x14ac:dyDescent="0.2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</row>
    <row r="329" spans="1:13" ht="14.25" customHeight="1" x14ac:dyDescent="0.2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</row>
    <row r="330" spans="1:13" ht="14.25" customHeight="1" x14ac:dyDescent="0.2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</row>
    <row r="331" spans="1:13" ht="14.25" customHeight="1" x14ac:dyDescent="0.2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</row>
    <row r="332" spans="1:13" ht="14.25" customHeight="1" x14ac:dyDescent="0.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</row>
    <row r="333" spans="1:13" ht="14.25" customHeight="1" x14ac:dyDescent="0.2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</row>
    <row r="334" spans="1:13" ht="14.25" customHeight="1" x14ac:dyDescent="0.2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</row>
    <row r="335" spans="1:13" ht="14.25" customHeight="1" x14ac:dyDescent="0.2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</row>
    <row r="336" spans="1:13" ht="14.25" customHeight="1" x14ac:dyDescent="0.2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</row>
    <row r="337" spans="1:13" ht="14.25" customHeight="1" x14ac:dyDescent="0.2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</row>
    <row r="338" spans="1:13" ht="14.25" customHeight="1" x14ac:dyDescent="0.2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</row>
    <row r="339" spans="1:13" ht="14.25" customHeight="1" x14ac:dyDescent="0.2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</row>
    <row r="340" spans="1:13" ht="14.25" customHeight="1" x14ac:dyDescent="0.2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</row>
    <row r="341" spans="1:13" ht="14.25" customHeight="1" x14ac:dyDescent="0.2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</row>
    <row r="342" spans="1:13" ht="14.25" customHeight="1" x14ac:dyDescent="0.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</row>
    <row r="343" spans="1:13" ht="14.25" customHeight="1" x14ac:dyDescent="0.2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</row>
    <row r="344" spans="1:13" ht="14.25" customHeight="1" x14ac:dyDescent="0.2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</row>
    <row r="345" spans="1:13" ht="14.25" customHeight="1" x14ac:dyDescent="0.2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</row>
    <row r="346" spans="1:13" ht="14.25" customHeight="1" x14ac:dyDescent="0.2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</row>
    <row r="347" spans="1:13" ht="14.25" customHeight="1" x14ac:dyDescent="0.2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</row>
    <row r="348" spans="1:13" ht="14.25" customHeight="1" x14ac:dyDescent="0.2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</row>
    <row r="349" spans="1:13" ht="14.25" customHeight="1" x14ac:dyDescent="0.2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</row>
    <row r="350" spans="1:13" ht="14.25" customHeight="1" x14ac:dyDescent="0.2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</row>
    <row r="351" spans="1:13" ht="14.25" customHeight="1" x14ac:dyDescent="0.2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</row>
    <row r="352" spans="1:13" ht="14.25" customHeight="1" x14ac:dyDescent="0.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</row>
    <row r="353" spans="1:13" ht="14.25" customHeight="1" x14ac:dyDescent="0.2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</row>
    <row r="354" spans="1:13" ht="14.25" customHeight="1" x14ac:dyDescent="0.2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</row>
    <row r="355" spans="1:13" ht="14.25" customHeight="1" x14ac:dyDescent="0.2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</row>
    <row r="356" spans="1:13" ht="14.25" customHeight="1" x14ac:dyDescent="0.2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</row>
    <row r="357" spans="1:13" ht="14.25" customHeight="1" x14ac:dyDescent="0.2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</row>
    <row r="358" spans="1:13" ht="14.25" customHeight="1" x14ac:dyDescent="0.2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</row>
    <row r="359" spans="1:13" ht="14.25" customHeight="1" x14ac:dyDescent="0.2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</row>
    <row r="360" spans="1:13" ht="14.25" customHeight="1" x14ac:dyDescent="0.2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</row>
    <row r="361" spans="1:13" ht="14.25" customHeight="1" x14ac:dyDescent="0.2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</row>
    <row r="362" spans="1:13" ht="14.25" customHeight="1" x14ac:dyDescent="0.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</row>
    <row r="363" spans="1:13" ht="14.25" customHeight="1" x14ac:dyDescent="0.2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</row>
    <row r="364" spans="1:13" ht="14.25" customHeight="1" x14ac:dyDescent="0.2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</row>
    <row r="365" spans="1:13" ht="14.25" customHeight="1" x14ac:dyDescent="0.2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</row>
    <row r="366" spans="1:13" ht="14.25" customHeight="1" x14ac:dyDescent="0.2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</row>
    <row r="367" spans="1:13" ht="14.25" customHeight="1" x14ac:dyDescent="0.2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</row>
    <row r="368" spans="1:13" ht="14.25" customHeight="1" x14ac:dyDescent="0.2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</row>
    <row r="369" spans="1:13" ht="14.25" customHeight="1" x14ac:dyDescent="0.2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</row>
    <row r="370" spans="1:13" ht="14.25" customHeight="1" x14ac:dyDescent="0.2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</row>
    <row r="371" spans="1:13" ht="14.25" customHeight="1" x14ac:dyDescent="0.2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</row>
    <row r="372" spans="1:13" ht="14.25" customHeight="1" x14ac:dyDescent="0.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</row>
    <row r="373" spans="1:13" ht="14.25" customHeight="1" x14ac:dyDescent="0.2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</row>
    <row r="374" spans="1:13" ht="14.25" customHeight="1" x14ac:dyDescent="0.2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</row>
    <row r="375" spans="1:13" ht="14.25" customHeight="1" x14ac:dyDescent="0.2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</row>
    <row r="376" spans="1:13" ht="14.25" customHeight="1" x14ac:dyDescent="0.2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</row>
    <row r="377" spans="1:13" ht="14.25" customHeight="1" x14ac:dyDescent="0.2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</row>
    <row r="378" spans="1:13" ht="14.25" customHeight="1" x14ac:dyDescent="0.2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</row>
    <row r="379" spans="1:13" ht="14.25" customHeight="1" x14ac:dyDescent="0.2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</row>
    <row r="380" spans="1:13" ht="14.25" customHeight="1" x14ac:dyDescent="0.2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</row>
    <row r="381" spans="1:13" ht="14.25" customHeight="1" x14ac:dyDescent="0.2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</row>
    <row r="382" spans="1:13" ht="14.25" customHeight="1" x14ac:dyDescent="0.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</row>
    <row r="383" spans="1:13" ht="14.25" customHeight="1" x14ac:dyDescent="0.2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</row>
    <row r="384" spans="1:13" ht="14.25" customHeight="1" x14ac:dyDescent="0.2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</row>
    <row r="385" spans="1:13" ht="14.25" customHeight="1" x14ac:dyDescent="0.2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</row>
    <row r="386" spans="1:13" ht="14.25" customHeight="1" x14ac:dyDescent="0.2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</row>
    <row r="387" spans="1:13" ht="14.25" customHeight="1" x14ac:dyDescent="0.2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</row>
    <row r="388" spans="1:13" ht="14.25" customHeight="1" x14ac:dyDescent="0.2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</row>
    <row r="389" spans="1:13" ht="14.25" customHeight="1" x14ac:dyDescent="0.2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</row>
    <row r="390" spans="1:13" ht="14.25" customHeight="1" x14ac:dyDescent="0.2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</row>
    <row r="391" spans="1:13" ht="14.25" customHeight="1" x14ac:dyDescent="0.2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</row>
    <row r="392" spans="1:13" ht="14.25" customHeight="1" x14ac:dyDescent="0.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</row>
    <row r="393" spans="1:13" ht="14.25" customHeight="1" x14ac:dyDescent="0.2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</row>
    <row r="394" spans="1:13" ht="14.25" customHeight="1" x14ac:dyDescent="0.2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</row>
    <row r="395" spans="1:13" ht="14.25" customHeight="1" x14ac:dyDescent="0.2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</row>
    <row r="396" spans="1:13" ht="14.25" customHeight="1" x14ac:dyDescent="0.2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</row>
    <row r="397" spans="1:13" ht="14.25" customHeight="1" x14ac:dyDescent="0.2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</row>
    <row r="398" spans="1:13" ht="14.25" customHeight="1" x14ac:dyDescent="0.2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</row>
    <row r="399" spans="1:13" ht="14.25" customHeight="1" x14ac:dyDescent="0.2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</row>
    <row r="400" spans="1:13" ht="14.25" customHeight="1" x14ac:dyDescent="0.2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</row>
    <row r="401" spans="1:13" ht="14.25" customHeight="1" x14ac:dyDescent="0.2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</row>
    <row r="402" spans="1:13" ht="14.25" customHeight="1" x14ac:dyDescent="0.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</row>
    <row r="403" spans="1:13" ht="14.25" customHeight="1" x14ac:dyDescent="0.2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</row>
    <row r="404" spans="1:13" ht="14.25" customHeight="1" x14ac:dyDescent="0.2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</row>
    <row r="405" spans="1:13" ht="14.25" customHeight="1" x14ac:dyDescent="0.2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</row>
    <row r="406" spans="1:13" ht="14.25" customHeight="1" x14ac:dyDescent="0.2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</row>
    <row r="407" spans="1:13" ht="14.25" customHeight="1" x14ac:dyDescent="0.2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</row>
    <row r="408" spans="1:13" ht="14.25" customHeight="1" x14ac:dyDescent="0.2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</row>
    <row r="409" spans="1:13" ht="14.25" customHeight="1" x14ac:dyDescent="0.2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</row>
    <row r="410" spans="1:13" ht="14.25" customHeight="1" x14ac:dyDescent="0.2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</row>
    <row r="411" spans="1:13" ht="14.25" customHeight="1" x14ac:dyDescent="0.2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</row>
    <row r="412" spans="1:13" ht="14.25" customHeight="1" x14ac:dyDescent="0.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</row>
    <row r="413" spans="1:13" ht="14.25" customHeight="1" x14ac:dyDescent="0.2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</row>
    <row r="414" spans="1:13" ht="14.25" customHeight="1" x14ac:dyDescent="0.2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</row>
    <row r="415" spans="1:13" ht="14.25" customHeight="1" x14ac:dyDescent="0.2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</row>
    <row r="416" spans="1:13" ht="14.25" customHeight="1" x14ac:dyDescent="0.2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</row>
    <row r="417" spans="1:13" ht="14.25" customHeight="1" x14ac:dyDescent="0.2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</row>
    <row r="418" spans="1:13" ht="14.25" customHeight="1" x14ac:dyDescent="0.2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</row>
    <row r="419" spans="1:13" ht="14.25" customHeight="1" x14ac:dyDescent="0.2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</row>
    <row r="420" spans="1:13" ht="14.25" customHeight="1" x14ac:dyDescent="0.2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</row>
    <row r="421" spans="1:13" ht="14.25" customHeight="1" x14ac:dyDescent="0.2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</row>
    <row r="422" spans="1:13" ht="14.25" customHeight="1" x14ac:dyDescent="0.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</row>
    <row r="423" spans="1:13" ht="14.25" customHeight="1" x14ac:dyDescent="0.2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</row>
    <row r="424" spans="1:13" ht="14.25" customHeight="1" x14ac:dyDescent="0.2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</row>
    <row r="425" spans="1:13" ht="14.25" customHeight="1" x14ac:dyDescent="0.2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</row>
    <row r="426" spans="1:13" ht="14.25" customHeight="1" x14ac:dyDescent="0.2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</row>
    <row r="427" spans="1:13" ht="14.25" customHeight="1" x14ac:dyDescent="0.2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</row>
    <row r="428" spans="1:13" ht="14.25" customHeight="1" x14ac:dyDescent="0.2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</row>
    <row r="429" spans="1:13" ht="14.25" customHeight="1" x14ac:dyDescent="0.2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</row>
    <row r="430" spans="1:13" ht="14.25" customHeight="1" x14ac:dyDescent="0.2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</row>
    <row r="431" spans="1:13" ht="14.25" customHeight="1" x14ac:dyDescent="0.2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</row>
    <row r="432" spans="1:13" ht="14.25" customHeight="1" x14ac:dyDescent="0.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</row>
    <row r="433" spans="1:13" ht="14.25" customHeight="1" x14ac:dyDescent="0.2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</row>
    <row r="434" spans="1:13" ht="14.25" customHeight="1" x14ac:dyDescent="0.2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</row>
    <row r="435" spans="1:13" ht="14.25" customHeight="1" x14ac:dyDescent="0.2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</row>
    <row r="436" spans="1:13" ht="14.25" customHeight="1" x14ac:dyDescent="0.2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</row>
    <row r="437" spans="1:13" ht="14.25" customHeight="1" x14ac:dyDescent="0.2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</row>
    <row r="438" spans="1:13" ht="14.25" customHeight="1" x14ac:dyDescent="0.2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</row>
    <row r="439" spans="1:13" ht="14.25" customHeight="1" x14ac:dyDescent="0.2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</row>
    <row r="440" spans="1:13" ht="14.25" customHeight="1" x14ac:dyDescent="0.2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</row>
    <row r="441" spans="1:13" ht="14.25" customHeight="1" x14ac:dyDescent="0.2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</row>
    <row r="442" spans="1:13" ht="14.25" customHeight="1" x14ac:dyDescent="0.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</row>
    <row r="443" spans="1:13" ht="14.25" customHeight="1" x14ac:dyDescent="0.2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</row>
    <row r="444" spans="1:13" ht="14.25" customHeight="1" x14ac:dyDescent="0.2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</row>
    <row r="445" spans="1:13" ht="14.25" customHeight="1" x14ac:dyDescent="0.2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</row>
    <row r="446" spans="1:13" ht="14.25" customHeight="1" x14ac:dyDescent="0.2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</row>
    <row r="447" spans="1:13" ht="14.25" customHeight="1" x14ac:dyDescent="0.2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</row>
    <row r="448" spans="1:13" ht="14.25" customHeight="1" x14ac:dyDescent="0.2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</row>
    <row r="449" spans="1:13" ht="14.25" customHeight="1" x14ac:dyDescent="0.2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</row>
    <row r="450" spans="1:13" ht="14.25" customHeight="1" x14ac:dyDescent="0.2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</row>
    <row r="451" spans="1:13" ht="14.25" customHeight="1" x14ac:dyDescent="0.2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</row>
    <row r="452" spans="1:13" ht="14.25" customHeight="1" x14ac:dyDescent="0.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</row>
    <row r="453" spans="1:13" ht="14.25" customHeight="1" x14ac:dyDescent="0.2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</row>
    <row r="454" spans="1:13" ht="14.25" customHeight="1" x14ac:dyDescent="0.2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</row>
    <row r="455" spans="1:13" ht="14.25" customHeight="1" x14ac:dyDescent="0.2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</row>
    <row r="456" spans="1:13" ht="14.25" customHeight="1" x14ac:dyDescent="0.2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</row>
    <row r="457" spans="1:13" ht="14.25" customHeight="1" x14ac:dyDescent="0.2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</row>
    <row r="458" spans="1:13" ht="14.25" customHeight="1" x14ac:dyDescent="0.2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</row>
    <row r="459" spans="1:13" ht="14.25" customHeight="1" x14ac:dyDescent="0.2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</row>
    <row r="460" spans="1:13" ht="14.25" customHeight="1" x14ac:dyDescent="0.2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</row>
    <row r="461" spans="1:13" ht="14.25" customHeight="1" x14ac:dyDescent="0.2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</row>
    <row r="462" spans="1:13" ht="14.25" customHeight="1" x14ac:dyDescent="0.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</row>
    <row r="463" spans="1:13" ht="14.25" customHeight="1" x14ac:dyDescent="0.2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</row>
    <row r="464" spans="1:13" ht="14.25" customHeight="1" x14ac:dyDescent="0.2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</row>
    <row r="465" spans="1:13" ht="14.25" customHeight="1" x14ac:dyDescent="0.2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</row>
    <row r="466" spans="1:13" ht="14.25" customHeight="1" x14ac:dyDescent="0.2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</row>
    <row r="467" spans="1:13" ht="14.25" customHeight="1" x14ac:dyDescent="0.2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</row>
    <row r="468" spans="1:13" ht="14.25" customHeight="1" x14ac:dyDescent="0.2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</row>
    <row r="469" spans="1:13" ht="14.25" customHeight="1" x14ac:dyDescent="0.2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</row>
    <row r="470" spans="1:13" ht="14.25" customHeight="1" x14ac:dyDescent="0.2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</row>
    <row r="471" spans="1:13" ht="14.25" customHeight="1" x14ac:dyDescent="0.2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</row>
    <row r="472" spans="1:13" ht="14.25" customHeight="1" x14ac:dyDescent="0.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</row>
    <row r="473" spans="1:13" ht="14.25" customHeight="1" x14ac:dyDescent="0.2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</row>
    <row r="474" spans="1:13" ht="14.25" customHeight="1" x14ac:dyDescent="0.2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</row>
    <row r="475" spans="1:13" ht="14.25" customHeight="1" x14ac:dyDescent="0.2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</row>
    <row r="476" spans="1:13" ht="14.25" customHeight="1" x14ac:dyDescent="0.2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</row>
    <row r="477" spans="1:13" ht="14.25" customHeight="1" x14ac:dyDescent="0.2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</row>
    <row r="478" spans="1:13" ht="14.25" customHeight="1" x14ac:dyDescent="0.2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</row>
    <row r="479" spans="1:13" ht="14.25" customHeight="1" x14ac:dyDescent="0.2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</row>
    <row r="480" spans="1:13" ht="14.25" customHeight="1" x14ac:dyDescent="0.2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</row>
    <row r="481" spans="1:13" ht="14.25" customHeight="1" x14ac:dyDescent="0.2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</row>
    <row r="482" spans="1:13" ht="14.25" customHeight="1" x14ac:dyDescent="0.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</row>
    <row r="483" spans="1:13" ht="14.25" customHeight="1" x14ac:dyDescent="0.2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</row>
    <row r="484" spans="1:13" ht="14.25" customHeight="1" x14ac:dyDescent="0.2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</row>
    <row r="485" spans="1:13" ht="14.25" customHeight="1" x14ac:dyDescent="0.2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</row>
    <row r="486" spans="1:13" ht="14.25" customHeight="1" x14ac:dyDescent="0.2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</row>
    <row r="487" spans="1:13" ht="14.25" customHeight="1" x14ac:dyDescent="0.2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</row>
    <row r="488" spans="1:13" ht="14.25" customHeight="1" x14ac:dyDescent="0.2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</row>
    <row r="489" spans="1:13" ht="14.25" customHeight="1" x14ac:dyDescent="0.2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</row>
    <row r="490" spans="1:13" ht="14.25" customHeight="1" x14ac:dyDescent="0.2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</row>
    <row r="491" spans="1:13" ht="14.25" customHeight="1" x14ac:dyDescent="0.2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</row>
    <row r="492" spans="1:13" ht="14.25" customHeight="1" x14ac:dyDescent="0.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</row>
    <row r="493" spans="1:13" ht="14.25" customHeight="1" x14ac:dyDescent="0.2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</row>
    <row r="494" spans="1:13" ht="14.25" customHeight="1" x14ac:dyDescent="0.2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</row>
    <row r="495" spans="1:13" ht="14.25" customHeight="1" x14ac:dyDescent="0.2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</row>
    <row r="496" spans="1:13" ht="14.25" customHeight="1" x14ac:dyDescent="0.2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</row>
    <row r="497" spans="1:13" ht="14.25" customHeight="1" x14ac:dyDescent="0.2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</row>
    <row r="498" spans="1:13" ht="14.25" customHeight="1" x14ac:dyDescent="0.2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</row>
    <row r="499" spans="1:13" ht="14.25" customHeight="1" x14ac:dyDescent="0.2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</row>
    <row r="500" spans="1:13" ht="14.25" customHeight="1" x14ac:dyDescent="0.2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</row>
    <row r="501" spans="1:13" ht="14.25" customHeight="1" x14ac:dyDescent="0.2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</row>
    <row r="502" spans="1:13" ht="14.25" customHeight="1" x14ac:dyDescent="0.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</row>
    <row r="503" spans="1:13" ht="14.25" customHeight="1" x14ac:dyDescent="0.2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</row>
    <row r="504" spans="1:13" ht="14.25" customHeight="1" x14ac:dyDescent="0.2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</row>
    <row r="505" spans="1:13" ht="14.25" customHeight="1" x14ac:dyDescent="0.2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</row>
    <row r="506" spans="1:13" ht="14.25" customHeight="1" x14ac:dyDescent="0.2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</row>
    <row r="507" spans="1:13" ht="14.25" customHeight="1" x14ac:dyDescent="0.2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</row>
    <row r="508" spans="1:13" ht="14.25" customHeight="1" x14ac:dyDescent="0.2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</row>
    <row r="509" spans="1:13" ht="14.25" customHeight="1" x14ac:dyDescent="0.2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</row>
    <row r="510" spans="1:13" ht="14.25" customHeight="1" x14ac:dyDescent="0.2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</row>
    <row r="511" spans="1:13" ht="14.25" customHeight="1" x14ac:dyDescent="0.2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</row>
    <row r="512" spans="1:13" ht="14.25" customHeight="1" x14ac:dyDescent="0.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</row>
    <row r="513" spans="1:13" ht="14.25" customHeight="1" x14ac:dyDescent="0.2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</row>
    <row r="514" spans="1:13" ht="14.25" customHeight="1" x14ac:dyDescent="0.2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</row>
    <row r="515" spans="1:13" ht="14.25" customHeight="1" x14ac:dyDescent="0.2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</row>
    <row r="516" spans="1:13" ht="14.25" customHeight="1" x14ac:dyDescent="0.2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</row>
    <row r="517" spans="1:13" ht="14.25" customHeight="1" x14ac:dyDescent="0.2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</row>
    <row r="518" spans="1:13" ht="14.25" customHeight="1" x14ac:dyDescent="0.2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</row>
    <row r="519" spans="1:13" ht="14.25" customHeight="1" x14ac:dyDescent="0.2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</row>
    <row r="520" spans="1:13" ht="14.25" customHeight="1" x14ac:dyDescent="0.2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</row>
    <row r="521" spans="1:13" ht="14.25" customHeight="1" x14ac:dyDescent="0.2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</row>
    <row r="522" spans="1:13" ht="14.25" customHeight="1" x14ac:dyDescent="0.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</row>
    <row r="523" spans="1:13" ht="14.25" customHeight="1" x14ac:dyDescent="0.2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</row>
    <row r="524" spans="1:13" ht="14.25" customHeight="1" x14ac:dyDescent="0.2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</row>
    <row r="525" spans="1:13" ht="14.25" customHeight="1" x14ac:dyDescent="0.2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</row>
    <row r="526" spans="1:13" ht="14.25" customHeight="1" x14ac:dyDescent="0.2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</row>
    <row r="527" spans="1:13" ht="14.25" customHeight="1" x14ac:dyDescent="0.2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</row>
    <row r="528" spans="1:13" ht="14.25" customHeight="1" x14ac:dyDescent="0.2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</row>
    <row r="529" spans="1:13" ht="14.25" customHeight="1" x14ac:dyDescent="0.2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</row>
    <row r="530" spans="1:13" ht="14.25" customHeight="1" x14ac:dyDescent="0.2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</row>
    <row r="531" spans="1:13" ht="14.25" customHeight="1" x14ac:dyDescent="0.2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</row>
    <row r="532" spans="1:13" ht="14.25" customHeight="1" x14ac:dyDescent="0.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</row>
    <row r="533" spans="1:13" ht="14.25" customHeight="1" x14ac:dyDescent="0.2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</row>
    <row r="534" spans="1:13" ht="14.25" customHeight="1" x14ac:dyDescent="0.2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</row>
    <row r="535" spans="1:13" ht="14.25" customHeight="1" x14ac:dyDescent="0.2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</row>
    <row r="536" spans="1:13" ht="14.25" customHeight="1" x14ac:dyDescent="0.2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</row>
    <row r="537" spans="1:13" ht="14.25" customHeight="1" x14ac:dyDescent="0.2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</row>
    <row r="538" spans="1:13" ht="14.25" customHeight="1" x14ac:dyDescent="0.2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</row>
    <row r="539" spans="1:13" ht="14.25" customHeight="1" x14ac:dyDescent="0.2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</row>
    <row r="540" spans="1:13" ht="14.25" customHeight="1" x14ac:dyDescent="0.2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</row>
    <row r="541" spans="1:13" ht="14.25" customHeight="1" x14ac:dyDescent="0.2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</row>
    <row r="542" spans="1:13" ht="14.25" customHeight="1" x14ac:dyDescent="0.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</row>
    <row r="543" spans="1:13" ht="14.25" customHeight="1" x14ac:dyDescent="0.2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</row>
    <row r="544" spans="1:13" ht="14.25" customHeight="1" x14ac:dyDescent="0.2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</row>
    <row r="545" spans="1:13" ht="14.25" customHeight="1" x14ac:dyDescent="0.2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</row>
    <row r="546" spans="1:13" ht="14.25" customHeight="1" x14ac:dyDescent="0.2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</row>
    <row r="547" spans="1:13" ht="14.25" customHeight="1" x14ac:dyDescent="0.2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</row>
    <row r="548" spans="1:13" ht="14.25" customHeight="1" x14ac:dyDescent="0.2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</row>
    <row r="549" spans="1:13" ht="14.25" customHeight="1" x14ac:dyDescent="0.2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</row>
    <row r="550" spans="1:13" ht="14.25" customHeight="1" x14ac:dyDescent="0.2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</row>
    <row r="551" spans="1:13" ht="14.25" customHeight="1" x14ac:dyDescent="0.2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</row>
    <row r="552" spans="1:13" ht="14.25" customHeight="1" x14ac:dyDescent="0.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</row>
    <row r="553" spans="1:13" ht="14.25" customHeight="1" x14ac:dyDescent="0.2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</row>
    <row r="554" spans="1:13" ht="14.25" customHeight="1" x14ac:dyDescent="0.2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</row>
    <row r="555" spans="1:13" ht="14.25" customHeight="1" x14ac:dyDescent="0.2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</row>
    <row r="556" spans="1:13" ht="14.25" customHeight="1" x14ac:dyDescent="0.2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</row>
    <row r="557" spans="1:13" ht="14.25" customHeight="1" x14ac:dyDescent="0.2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</row>
    <row r="558" spans="1:13" ht="14.25" customHeight="1" x14ac:dyDescent="0.2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</row>
    <row r="559" spans="1:13" ht="14.25" customHeight="1" x14ac:dyDescent="0.2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</row>
    <row r="560" spans="1:13" ht="14.25" customHeight="1" x14ac:dyDescent="0.2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</row>
    <row r="561" spans="1:13" ht="14.25" customHeight="1" x14ac:dyDescent="0.2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</row>
    <row r="562" spans="1:13" ht="14.25" customHeight="1" x14ac:dyDescent="0.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</row>
    <row r="563" spans="1:13" ht="14.25" customHeight="1" x14ac:dyDescent="0.2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</row>
    <row r="564" spans="1:13" ht="14.25" customHeight="1" x14ac:dyDescent="0.2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</row>
    <row r="565" spans="1:13" ht="14.25" customHeight="1" x14ac:dyDescent="0.2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</row>
    <row r="566" spans="1:13" ht="14.25" customHeight="1" x14ac:dyDescent="0.2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</row>
    <row r="567" spans="1:13" ht="14.25" customHeight="1" x14ac:dyDescent="0.2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</row>
    <row r="568" spans="1:13" ht="14.25" customHeight="1" x14ac:dyDescent="0.2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</row>
    <row r="569" spans="1:13" ht="14.25" customHeight="1" x14ac:dyDescent="0.2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</row>
    <row r="570" spans="1:13" ht="14.25" customHeight="1" x14ac:dyDescent="0.2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</row>
    <row r="571" spans="1:13" ht="14.25" customHeight="1" x14ac:dyDescent="0.2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</row>
    <row r="572" spans="1:13" ht="14.25" customHeight="1" x14ac:dyDescent="0.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</row>
    <row r="573" spans="1:13" ht="14.25" customHeight="1" x14ac:dyDescent="0.2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</row>
    <row r="574" spans="1:13" ht="14.25" customHeight="1" x14ac:dyDescent="0.2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</row>
    <row r="575" spans="1:13" ht="14.25" customHeight="1" x14ac:dyDescent="0.2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</row>
    <row r="576" spans="1:13" ht="14.25" customHeight="1" x14ac:dyDescent="0.2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</row>
    <row r="577" spans="1:13" ht="14.25" customHeight="1" x14ac:dyDescent="0.2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</row>
    <row r="578" spans="1:13" ht="14.25" customHeight="1" x14ac:dyDescent="0.2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</row>
    <row r="579" spans="1:13" ht="14.25" customHeight="1" x14ac:dyDescent="0.2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</row>
    <row r="580" spans="1:13" ht="14.25" customHeight="1" x14ac:dyDescent="0.2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</row>
    <row r="581" spans="1:13" ht="14.25" customHeight="1" x14ac:dyDescent="0.2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</row>
    <row r="582" spans="1:13" ht="14.25" customHeight="1" x14ac:dyDescent="0.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</row>
    <row r="583" spans="1:13" ht="14.25" customHeight="1" x14ac:dyDescent="0.2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</row>
    <row r="584" spans="1:13" ht="14.25" customHeight="1" x14ac:dyDescent="0.2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</row>
    <row r="585" spans="1:13" ht="14.25" customHeight="1" x14ac:dyDescent="0.2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</row>
    <row r="586" spans="1:13" ht="14.25" customHeight="1" x14ac:dyDescent="0.2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</row>
    <row r="587" spans="1:13" ht="14.25" customHeight="1" x14ac:dyDescent="0.2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</row>
    <row r="588" spans="1:13" ht="14.25" customHeight="1" x14ac:dyDescent="0.2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</row>
    <row r="589" spans="1:13" ht="14.25" customHeight="1" x14ac:dyDescent="0.2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</row>
    <row r="590" spans="1:13" ht="14.25" customHeight="1" x14ac:dyDescent="0.2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</row>
    <row r="591" spans="1:13" ht="14.25" customHeight="1" x14ac:dyDescent="0.2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</row>
    <row r="592" spans="1:13" ht="14.25" customHeight="1" x14ac:dyDescent="0.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</row>
    <row r="593" spans="1:13" ht="14.25" customHeight="1" x14ac:dyDescent="0.2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</row>
    <row r="594" spans="1:13" ht="14.25" customHeight="1" x14ac:dyDescent="0.2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</row>
    <row r="595" spans="1:13" ht="14.25" customHeight="1" x14ac:dyDescent="0.2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</row>
    <row r="596" spans="1:13" ht="14.25" customHeight="1" x14ac:dyDescent="0.2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</row>
    <row r="597" spans="1:13" ht="14.25" customHeight="1" x14ac:dyDescent="0.2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</row>
    <row r="598" spans="1:13" ht="14.25" customHeight="1" x14ac:dyDescent="0.2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</row>
    <row r="599" spans="1:13" ht="14.25" customHeight="1" x14ac:dyDescent="0.2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</row>
    <row r="600" spans="1:13" ht="14.25" customHeight="1" x14ac:dyDescent="0.2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</row>
    <row r="601" spans="1:13" ht="14.25" customHeight="1" x14ac:dyDescent="0.2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</row>
    <row r="602" spans="1:13" ht="14.25" customHeight="1" x14ac:dyDescent="0.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</row>
    <row r="603" spans="1:13" ht="14.25" customHeight="1" x14ac:dyDescent="0.2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</row>
    <row r="604" spans="1:13" ht="14.25" customHeight="1" x14ac:dyDescent="0.2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</row>
    <row r="605" spans="1:13" ht="14.25" customHeight="1" x14ac:dyDescent="0.2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</row>
    <row r="606" spans="1:13" ht="14.25" customHeight="1" x14ac:dyDescent="0.2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</row>
    <row r="607" spans="1:13" ht="14.25" customHeight="1" x14ac:dyDescent="0.2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</row>
    <row r="608" spans="1:13" ht="14.25" customHeight="1" x14ac:dyDescent="0.2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</row>
    <row r="609" spans="1:13" ht="14.25" customHeight="1" x14ac:dyDescent="0.2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</row>
    <row r="610" spans="1:13" ht="14.25" customHeight="1" x14ac:dyDescent="0.2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</row>
    <row r="611" spans="1:13" ht="14.25" customHeight="1" x14ac:dyDescent="0.2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</row>
    <row r="612" spans="1:13" ht="14.25" customHeight="1" x14ac:dyDescent="0.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</row>
    <row r="613" spans="1:13" ht="14.25" customHeight="1" x14ac:dyDescent="0.2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</row>
    <row r="614" spans="1:13" ht="14.25" customHeight="1" x14ac:dyDescent="0.2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</row>
    <row r="615" spans="1:13" ht="14.25" customHeight="1" x14ac:dyDescent="0.2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</row>
    <row r="616" spans="1:13" ht="14.25" customHeight="1" x14ac:dyDescent="0.2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</row>
    <row r="617" spans="1:13" ht="14.25" customHeight="1" x14ac:dyDescent="0.2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</row>
    <row r="618" spans="1:13" ht="14.25" customHeight="1" x14ac:dyDescent="0.2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</row>
    <row r="619" spans="1:13" ht="14.25" customHeight="1" x14ac:dyDescent="0.2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</row>
    <row r="620" spans="1:13" ht="14.25" customHeight="1" x14ac:dyDescent="0.2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</row>
    <row r="621" spans="1:13" ht="14.25" customHeight="1" x14ac:dyDescent="0.2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</row>
    <row r="622" spans="1:13" ht="14.25" customHeight="1" x14ac:dyDescent="0.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</row>
    <row r="623" spans="1:13" ht="14.25" customHeight="1" x14ac:dyDescent="0.2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</row>
    <row r="624" spans="1:13" ht="14.25" customHeight="1" x14ac:dyDescent="0.2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</row>
    <row r="625" spans="1:13" ht="14.25" customHeight="1" x14ac:dyDescent="0.2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</row>
    <row r="626" spans="1:13" ht="14.25" customHeight="1" x14ac:dyDescent="0.2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</row>
    <row r="627" spans="1:13" ht="14.25" customHeight="1" x14ac:dyDescent="0.2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</row>
    <row r="628" spans="1:13" ht="14.25" customHeight="1" x14ac:dyDescent="0.2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</row>
    <row r="629" spans="1:13" ht="14.25" customHeight="1" x14ac:dyDescent="0.2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</row>
    <row r="630" spans="1:13" ht="14.25" customHeight="1" x14ac:dyDescent="0.2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</row>
    <row r="631" spans="1:13" ht="14.25" customHeight="1" x14ac:dyDescent="0.2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</row>
    <row r="632" spans="1:13" ht="14.25" customHeight="1" x14ac:dyDescent="0.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</row>
    <row r="633" spans="1:13" ht="14.25" customHeight="1" x14ac:dyDescent="0.2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</row>
    <row r="634" spans="1:13" ht="14.25" customHeight="1" x14ac:dyDescent="0.2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</row>
    <row r="635" spans="1:13" ht="14.25" customHeight="1" x14ac:dyDescent="0.2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</row>
    <row r="636" spans="1:13" ht="14.25" customHeight="1" x14ac:dyDescent="0.2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</row>
    <row r="637" spans="1:13" ht="14.25" customHeight="1" x14ac:dyDescent="0.2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</row>
    <row r="638" spans="1:13" ht="14.25" customHeight="1" x14ac:dyDescent="0.2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</row>
    <row r="639" spans="1:13" ht="14.25" customHeight="1" x14ac:dyDescent="0.2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</row>
    <row r="640" spans="1:13" ht="14.25" customHeight="1" x14ac:dyDescent="0.2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</row>
    <row r="641" spans="1:13" ht="14.25" customHeight="1" x14ac:dyDescent="0.2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</row>
    <row r="642" spans="1:13" ht="14.25" customHeight="1" x14ac:dyDescent="0.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</row>
    <row r="643" spans="1:13" ht="14.25" customHeight="1" x14ac:dyDescent="0.2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</row>
    <row r="644" spans="1:13" ht="14.25" customHeight="1" x14ac:dyDescent="0.2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</row>
    <row r="645" spans="1:13" ht="14.25" customHeight="1" x14ac:dyDescent="0.2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</row>
    <row r="646" spans="1:13" ht="14.25" customHeight="1" x14ac:dyDescent="0.2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</row>
    <row r="647" spans="1:13" ht="14.25" customHeight="1" x14ac:dyDescent="0.2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</row>
    <row r="648" spans="1:13" ht="14.25" customHeight="1" x14ac:dyDescent="0.2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</row>
    <row r="649" spans="1:13" ht="14.25" customHeight="1" x14ac:dyDescent="0.2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</row>
    <row r="650" spans="1:13" ht="14.25" customHeight="1" x14ac:dyDescent="0.2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</row>
    <row r="651" spans="1:13" ht="14.25" customHeight="1" x14ac:dyDescent="0.2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</row>
    <row r="652" spans="1:13" ht="14.25" customHeight="1" x14ac:dyDescent="0.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</row>
    <row r="653" spans="1:13" ht="14.25" customHeight="1" x14ac:dyDescent="0.2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</row>
    <row r="654" spans="1:13" ht="14.25" customHeight="1" x14ac:dyDescent="0.2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</row>
    <row r="655" spans="1:13" ht="14.25" customHeight="1" x14ac:dyDescent="0.2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</row>
    <row r="656" spans="1:13" ht="14.25" customHeight="1" x14ac:dyDescent="0.2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</row>
    <row r="657" spans="1:13" ht="14.25" customHeight="1" x14ac:dyDescent="0.2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</row>
    <row r="658" spans="1:13" ht="14.25" customHeight="1" x14ac:dyDescent="0.2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</row>
    <row r="659" spans="1:13" ht="14.25" customHeight="1" x14ac:dyDescent="0.2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</row>
    <row r="660" spans="1:13" ht="14.25" customHeight="1" x14ac:dyDescent="0.2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</row>
    <row r="661" spans="1:13" ht="14.25" customHeight="1" x14ac:dyDescent="0.2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</row>
    <row r="662" spans="1:13" ht="14.25" customHeight="1" x14ac:dyDescent="0.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</row>
    <row r="663" spans="1:13" ht="14.25" customHeight="1" x14ac:dyDescent="0.2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</row>
    <row r="664" spans="1:13" ht="14.25" customHeight="1" x14ac:dyDescent="0.2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</row>
    <row r="665" spans="1:13" ht="14.25" customHeight="1" x14ac:dyDescent="0.2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</row>
    <row r="666" spans="1:13" ht="14.25" customHeight="1" x14ac:dyDescent="0.2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</row>
    <row r="667" spans="1:13" ht="14.25" customHeight="1" x14ac:dyDescent="0.2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</row>
    <row r="668" spans="1:13" ht="14.25" customHeight="1" x14ac:dyDescent="0.2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</row>
    <row r="669" spans="1:13" ht="14.25" customHeight="1" x14ac:dyDescent="0.2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</row>
    <row r="670" spans="1:13" ht="14.25" customHeight="1" x14ac:dyDescent="0.2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</row>
    <row r="671" spans="1:13" ht="14.25" customHeight="1" x14ac:dyDescent="0.2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</row>
    <row r="672" spans="1:13" ht="14.25" customHeight="1" x14ac:dyDescent="0.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</row>
    <row r="673" spans="1:13" ht="14.25" customHeight="1" x14ac:dyDescent="0.2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</row>
    <row r="674" spans="1:13" ht="14.25" customHeight="1" x14ac:dyDescent="0.2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</row>
    <row r="675" spans="1:13" ht="14.25" customHeight="1" x14ac:dyDescent="0.2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</row>
    <row r="676" spans="1:13" ht="14.25" customHeight="1" x14ac:dyDescent="0.2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</row>
    <row r="677" spans="1:13" ht="14.25" customHeight="1" x14ac:dyDescent="0.2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</row>
    <row r="678" spans="1:13" ht="14.25" customHeight="1" x14ac:dyDescent="0.2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</row>
    <row r="679" spans="1:13" ht="14.25" customHeight="1" x14ac:dyDescent="0.2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</row>
    <row r="680" spans="1:13" ht="14.25" customHeight="1" x14ac:dyDescent="0.2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</row>
    <row r="681" spans="1:13" ht="14.25" customHeight="1" x14ac:dyDescent="0.2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</row>
    <row r="682" spans="1:13" ht="14.25" customHeight="1" x14ac:dyDescent="0.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</row>
    <row r="683" spans="1:13" ht="14.25" customHeight="1" x14ac:dyDescent="0.2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</row>
    <row r="684" spans="1:13" ht="14.25" customHeight="1" x14ac:dyDescent="0.2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</row>
    <row r="685" spans="1:13" ht="14.25" customHeight="1" x14ac:dyDescent="0.2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</row>
    <row r="686" spans="1:13" ht="14.25" customHeight="1" x14ac:dyDescent="0.2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</row>
    <row r="687" spans="1:13" ht="14.25" customHeight="1" x14ac:dyDescent="0.2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</row>
    <row r="688" spans="1:13" ht="14.25" customHeight="1" x14ac:dyDescent="0.2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</row>
    <row r="689" spans="1:13" ht="14.25" customHeight="1" x14ac:dyDescent="0.2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</row>
    <row r="690" spans="1:13" ht="14.25" customHeight="1" x14ac:dyDescent="0.2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</row>
    <row r="691" spans="1:13" ht="14.25" customHeight="1" x14ac:dyDescent="0.2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</row>
    <row r="692" spans="1:13" ht="14.25" customHeight="1" x14ac:dyDescent="0.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</row>
    <row r="693" spans="1:13" ht="14.25" customHeight="1" x14ac:dyDescent="0.2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</row>
    <row r="694" spans="1:13" ht="14.25" customHeight="1" x14ac:dyDescent="0.2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</row>
    <row r="695" spans="1:13" ht="14.25" customHeight="1" x14ac:dyDescent="0.2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</row>
    <row r="696" spans="1:13" ht="14.25" customHeight="1" x14ac:dyDescent="0.2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</row>
    <row r="697" spans="1:13" ht="14.25" customHeight="1" x14ac:dyDescent="0.2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</row>
    <row r="698" spans="1:13" ht="14.25" customHeight="1" x14ac:dyDescent="0.2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</row>
    <row r="699" spans="1:13" ht="14.25" customHeight="1" x14ac:dyDescent="0.2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</row>
    <row r="700" spans="1:13" ht="14.25" customHeight="1" x14ac:dyDescent="0.2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</row>
    <row r="701" spans="1:13" ht="14.25" customHeight="1" x14ac:dyDescent="0.2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</row>
    <row r="702" spans="1:13" ht="14.25" customHeight="1" x14ac:dyDescent="0.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</row>
    <row r="703" spans="1:13" ht="14.25" customHeight="1" x14ac:dyDescent="0.2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</row>
    <row r="704" spans="1:13" ht="14.25" customHeight="1" x14ac:dyDescent="0.2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</row>
    <row r="705" spans="1:13" ht="14.25" customHeight="1" x14ac:dyDescent="0.2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</row>
    <row r="706" spans="1:13" ht="14.25" customHeight="1" x14ac:dyDescent="0.2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</row>
    <row r="707" spans="1:13" ht="14.25" customHeight="1" x14ac:dyDescent="0.2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</row>
    <row r="708" spans="1:13" ht="14.25" customHeight="1" x14ac:dyDescent="0.2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</row>
    <row r="709" spans="1:13" ht="14.25" customHeight="1" x14ac:dyDescent="0.2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</row>
    <row r="710" spans="1:13" ht="14.25" customHeight="1" x14ac:dyDescent="0.2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</row>
    <row r="711" spans="1:13" ht="14.25" customHeight="1" x14ac:dyDescent="0.2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</row>
    <row r="712" spans="1:13" ht="14.25" customHeight="1" x14ac:dyDescent="0.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</row>
    <row r="713" spans="1:13" ht="14.25" customHeight="1" x14ac:dyDescent="0.2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</row>
    <row r="714" spans="1:13" ht="14.25" customHeight="1" x14ac:dyDescent="0.2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</row>
    <row r="715" spans="1:13" ht="14.25" customHeight="1" x14ac:dyDescent="0.2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</row>
    <row r="716" spans="1:13" ht="14.25" customHeight="1" x14ac:dyDescent="0.2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</row>
    <row r="717" spans="1:13" ht="14.25" customHeight="1" x14ac:dyDescent="0.2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</row>
    <row r="718" spans="1:13" ht="14.25" customHeight="1" x14ac:dyDescent="0.2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</row>
    <row r="719" spans="1:13" ht="14.25" customHeight="1" x14ac:dyDescent="0.2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</row>
    <row r="720" spans="1:13" ht="14.25" customHeight="1" x14ac:dyDescent="0.2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</row>
    <row r="721" spans="1:13" ht="14.25" customHeight="1" x14ac:dyDescent="0.2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</row>
    <row r="722" spans="1:13" ht="14.25" customHeight="1" x14ac:dyDescent="0.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</row>
    <row r="723" spans="1:13" ht="14.25" customHeight="1" x14ac:dyDescent="0.2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</row>
    <row r="724" spans="1:13" ht="14.25" customHeight="1" x14ac:dyDescent="0.2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</row>
    <row r="725" spans="1:13" ht="14.25" customHeight="1" x14ac:dyDescent="0.2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</row>
    <row r="726" spans="1:13" ht="14.25" customHeight="1" x14ac:dyDescent="0.2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</row>
    <row r="727" spans="1:13" ht="14.25" customHeight="1" x14ac:dyDescent="0.2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</row>
    <row r="728" spans="1:13" ht="14.25" customHeight="1" x14ac:dyDescent="0.2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</row>
    <row r="729" spans="1:13" ht="14.25" customHeight="1" x14ac:dyDescent="0.2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</row>
    <row r="730" spans="1:13" ht="14.25" customHeight="1" x14ac:dyDescent="0.2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</row>
    <row r="731" spans="1:13" ht="14.25" customHeight="1" x14ac:dyDescent="0.2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</row>
    <row r="732" spans="1:13" ht="14.25" customHeight="1" x14ac:dyDescent="0.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</row>
    <row r="733" spans="1:13" ht="14.25" customHeight="1" x14ac:dyDescent="0.2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</row>
    <row r="734" spans="1:13" ht="14.25" customHeight="1" x14ac:dyDescent="0.2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</row>
    <row r="735" spans="1:13" ht="14.25" customHeight="1" x14ac:dyDescent="0.2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</row>
    <row r="736" spans="1:13" ht="14.25" customHeight="1" x14ac:dyDescent="0.2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</row>
    <row r="737" spans="1:13" ht="14.25" customHeight="1" x14ac:dyDescent="0.2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</row>
    <row r="738" spans="1:13" ht="14.25" customHeight="1" x14ac:dyDescent="0.2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</row>
    <row r="739" spans="1:13" ht="14.25" customHeight="1" x14ac:dyDescent="0.2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</row>
    <row r="740" spans="1:13" ht="14.25" customHeight="1" x14ac:dyDescent="0.2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</row>
    <row r="741" spans="1:13" ht="14.25" customHeight="1" x14ac:dyDescent="0.2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</row>
    <row r="742" spans="1:13" ht="14.25" customHeight="1" x14ac:dyDescent="0.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</row>
    <row r="743" spans="1:13" ht="14.25" customHeight="1" x14ac:dyDescent="0.2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</row>
    <row r="744" spans="1:13" ht="14.25" customHeight="1" x14ac:dyDescent="0.2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</row>
    <row r="745" spans="1:13" ht="14.25" customHeight="1" x14ac:dyDescent="0.2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</row>
    <row r="746" spans="1:13" ht="14.25" customHeight="1" x14ac:dyDescent="0.2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</row>
    <row r="747" spans="1:13" ht="14.25" customHeight="1" x14ac:dyDescent="0.2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</row>
    <row r="748" spans="1:13" ht="14.25" customHeight="1" x14ac:dyDescent="0.2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</row>
    <row r="749" spans="1:13" ht="14.25" customHeight="1" x14ac:dyDescent="0.2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</row>
    <row r="750" spans="1:13" ht="14.25" customHeight="1" x14ac:dyDescent="0.2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</row>
    <row r="751" spans="1:13" ht="14.25" customHeight="1" x14ac:dyDescent="0.2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</row>
    <row r="752" spans="1:13" ht="14.25" customHeight="1" x14ac:dyDescent="0.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</row>
    <row r="753" spans="1:13" ht="14.25" customHeight="1" x14ac:dyDescent="0.2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</row>
    <row r="754" spans="1:13" ht="14.25" customHeight="1" x14ac:dyDescent="0.2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</row>
    <row r="755" spans="1:13" ht="14.25" customHeight="1" x14ac:dyDescent="0.2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</row>
    <row r="756" spans="1:13" ht="14.25" customHeight="1" x14ac:dyDescent="0.2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</row>
    <row r="757" spans="1:13" ht="14.25" customHeight="1" x14ac:dyDescent="0.2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</row>
    <row r="758" spans="1:13" ht="14.25" customHeight="1" x14ac:dyDescent="0.2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</row>
    <row r="759" spans="1:13" ht="14.25" customHeight="1" x14ac:dyDescent="0.2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</row>
    <row r="760" spans="1:13" ht="14.25" customHeight="1" x14ac:dyDescent="0.2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</row>
    <row r="761" spans="1:13" ht="14.25" customHeight="1" x14ac:dyDescent="0.2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</row>
    <row r="762" spans="1:13" ht="14.25" customHeight="1" x14ac:dyDescent="0.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</row>
    <row r="763" spans="1:13" ht="14.25" customHeight="1" x14ac:dyDescent="0.2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</row>
    <row r="764" spans="1:13" ht="14.25" customHeight="1" x14ac:dyDescent="0.2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</row>
    <row r="765" spans="1:13" ht="14.25" customHeight="1" x14ac:dyDescent="0.2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</row>
    <row r="766" spans="1:13" ht="14.25" customHeight="1" x14ac:dyDescent="0.2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</row>
    <row r="767" spans="1:13" ht="14.25" customHeight="1" x14ac:dyDescent="0.2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</row>
    <row r="768" spans="1:13" ht="14.25" customHeight="1" x14ac:dyDescent="0.2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</row>
    <row r="769" spans="1:13" ht="14.25" customHeight="1" x14ac:dyDescent="0.2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</row>
    <row r="770" spans="1:13" ht="14.25" customHeight="1" x14ac:dyDescent="0.2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</row>
    <row r="771" spans="1:13" ht="14.25" customHeight="1" x14ac:dyDescent="0.2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</row>
    <row r="772" spans="1:13" ht="14.25" customHeight="1" x14ac:dyDescent="0.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</row>
    <row r="773" spans="1:13" ht="14.25" customHeight="1" x14ac:dyDescent="0.2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</row>
    <row r="774" spans="1:13" ht="14.25" customHeight="1" x14ac:dyDescent="0.2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</row>
    <row r="775" spans="1:13" ht="14.25" customHeight="1" x14ac:dyDescent="0.2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</row>
    <row r="776" spans="1:13" ht="14.25" customHeight="1" x14ac:dyDescent="0.2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</row>
    <row r="777" spans="1:13" ht="14.25" customHeight="1" x14ac:dyDescent="0.2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</row>
    <row r="778" spans="1:13" ht="14.25" customHeight="1" x14ac:dyDescent="0.2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</row>
    <row r="779" spans="1:13" ht="14.25" customHeight="1" x14ac:dyDescent="0.2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</row>
    <row r="780" spans="1:13" ht="14.25" customHeight="1" x14ac:dyDescent="0.2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</row>
    <row r="781" spans="1:13" ht="14.25" customHeight="1" x14ac:dyDescent="0.2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</row>
    <row r="782" spans="1:13" ht="14.25" customHeight="1" x14ac:dyDescent="0.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</row>
    <row r="783" spans="1:13" ht="14.25" customHeight="1" x14ac:dyDescent="0.2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</row>
    <row r="784" spans="1:13" ht="14.25" customHeight="1" x14ac:dyDescent="0.2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</row>
    <row r="785" spans="1:13" ht="14.25" customHeight="1" x14ac:dyDescent="0.2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</row>
    <row r="786" spans="1:13" ht="14.25" customHeight="1" x14ac:dyDescent="0.2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</row>
    <row r="787" spans="1:13" ht="14.25" customHeight="1" x14ac:dyDescent="0.2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</row>
    <row r="788" spans="1:13" ht="14.25" customHeight="1" x14ac:dyDescent="0.2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</row>
    <row r="789" spans="1:13" ht="14.25" customHeight="1" x14ac:dyDescent="0.2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</row>
    <row r="790" spans="1:13" ht="14.25" customHeight="1" x14ac:dyDescent="0.2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</row>
    <row r="791" spans="1:13" ht="14.25" customHeight="1" x14ac:dyDescent="0.2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</row>
    <row r="792" spans="1:13" ht="14.25" customHeight="1" x14ac:dyDescent="0.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</row>
    <row r="793" spans="1:13" ht="14.25" customHeight="1" x14ac:dyDescent="0.2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</row>
    <row r="794" spans="1:13" ht="14.25" customHeight="1" x14ac:dyDescent="0.2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</row>
    <row r="795" spans="1:13" ht="14.25" customHeight="1" x14ac:dyDescent="0.2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</row>
    <row r="796" spans="1:13" ht="14.25" customHeight="1" x14ac:dyDescent="0.2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</row>
    <row r="797" spans="1:13" ht="14.25" customHeight="1" x14ac:dyDescent="0.2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</row>
    <row r="798" spans="1:13" ht="14.25" customHeight="1" x14ac:dyDescent="0.2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</row>
    <row r="799" spans="1:13" ht="14.25" customHeight="1" x14ac:dyDescent="0.2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</row>
    <row r="800" spans="1:13" ht="14.25" customHeight="1" x14ac:dyDescent="0.2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</row>
    <row r="801" spans="1:13" ht="14.25" customHeight="1" x14ac:dyDescent="0.2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</row>
    <row r="802" spans="1:13" ht="14.25" customHeight="1" x14ac:dyDescent="0.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</row>
    <row r="803" spans="1:13" ht="14.25" customHeight="1" x14ac:dyDescent="0.2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</row>
    <row r="804" spans="1:13" ht="14.25" customHeight="1" x14ac:dyDescent="0.2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</row>
    <row r="805" spans="1:13" ht="14.25" customHeight="1" x14ac:dyDescent="0.2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</row>
    <row r="806" spans="1:13" ht="14.25" customHeight="1" x14ac:dyDescent="0.2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</row>
    <row r="807" spans="1:13" ht="14.25" customHeight="1" x14ac:dyDescent="0.2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</row>
    <row r="808" spans="1:13" ht="14.25" customHeight="1" x14ac:dyDescent="0.2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</row>
    <row r="809" spans="1:13" ht="14.25" customHeight="1" x14ac:dyDescent="0.2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</row>
    <row r="810" spans="1:13" ht="14.25" customHeight="1" x14ac:dyDescent="0.2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</row>
    <row r="811" spans="1:13" ht="14.25" customHeight="1" x14ac:dyDescent="0.2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</row>
    <row r="812" spans="1:13" ht="14.25" customHeight="1" x14ac:dyDescent="0.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</row>
    <row r="813" spans="1:13" ht="14.25" customHeight="1" x14ac:dyDescent="0.2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</row>
    <row r="814" spans="1:13" ht="14.25" customHeight="1" x14ac:dyDescent="0.2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</row>
    <row r="815" spans="1:13" ht="14.25" customHeight="1" x14ac:dyDescent="0.2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</row>
    <row r="816" spans="1:13" ht="14.25" customHeight="1" x14ac:dyDescent="0.2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</row>
    <row r="817" spans="1:13" ht="14.25" customHeight="1" x14ac:dyDescent="0.2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</row>
    <row r="818" spans="1:13" ht="14.25" customHeight="1" x14ac:dyDescent="0.2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</row>
    <row r="819" spans="1:13" ht="14.25" customHeight="1" x14ac:dyDescent="0.2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</row>
    <row r="820" spans="1:13" ht="14.25" customHeight="1" x14ac:dyDescent="0.2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</row>
    <row r="821" spans="1:13" ht="14.25" customHeight="1" x14ac:dyDescent="0.2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</row>
    <row r="822" spans="1:13" ht="14.25" customHeight="1" x14ac:dyDescent="0.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</row>
    <row r="823" spans="1:13" ht="14.25" customHeight="1" x14ac:dyDescent="0.2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</row>
    <row r="824" spans="1:13" ht="14.25" customHeight="1" x14ac:dyDescent="0.2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</row>
    <row r="825" spans="1:13" ht="14.25" customHeight="1" x14ac:dyDescent="0.2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</row>
    <row r="826" spans="1:13" ht="14.25" customHeight="1" x14ac:dyDescent="0.2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</row>
    <row r="827" spans="1:13" ht="14.25" customHeight="1" x14ac:dyDescent="0.2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</row>
    <row r="828" spans="1:13" ht="14.25" customHeight="1" x14ac:dyDescent="0.2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</row>
    <row r="829" spans="1:13" ht="14.25" customHeight="1" x14ac:dyDescent="0.2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</row>
    <row r="830" spans="1:13" ht="14.25" customHeight="1" x14ac:dyDescent="0.2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</row>
    <row r="831" spans="1:13" ht="14.25" customHeight="1" x14ac:dyDescent="0.2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</row>
    <row r="832" spans="1:13" ht="14.25" customHeight="1" x14ac:dyDescent="0.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</row>
    <row r="833" spans="1:13" ht="14.25" customHeight="1" x14ac:dyDescent="0.2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</row>
    <row r="834" spans="1:13" ht="14.25" customHeight="1" x14ac:dyDescent="0.2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</row>
    <row r="835" spans="1:13" ht="14.25" customHeight="1" x14ac:dyDescent="0.2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</row>
    <row r="836" spans="1:13" ht="14.25" customHeight="1" x14ac:dyDescent="0.2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</row>
    <row r="837" spans="1:13" ht="14.25" customHeight="1" x14ac:dyDescent="0.2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</row>
    <row r="838" spans="1:13" ht="14.25" customHeight="1" x14ac:dyDescent="0.2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</row>
    <row r="839" spans="1:13" ht="14.25" customHeight="1" x14ac:dyDescent="0.2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</row>
    <row r="840" spans="1:13" ht="14.25" customHeight="1" x14ac:dyDescent="0.2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</row>
    <row r="841" spans="1:13" ht="14.25" customHeight="1" x14ac:dyDescent="0.2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</row>
    <row r="842" spans="1:13" ht="14.25" customHeight="1" x14ac:dyDescent="0.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</row>
    <row r="843" spans="1:13" ht="14.25" customHeight="1" x14ac:dyDescent="0.2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</row>
    <row r="844" spans="1:13" ht="14.25" customHeight="1" x14ac:dyDescent="0.2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</row>
    <row r="845" spans="1:13" ht="14.25" customHeight="1" x14ac:dyDescent="0.2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</row>
    <row r="846" spans="1:13" ht="14.25" customHeight="1" x14ac:dyDescent="0.2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</row>
    <row r="847" spans="1:13" ht="14.25" customHeight="1" x14ac:dyDescent="0.2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</row>
    <row r="848" spans="1:13" ht="14.25" customHeight="1" x14ac:dyDescent="0.2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</row>
    <row r="849" spans="1:13" ht="14.25" customHeight="1" x14ac:dyDescent="0.2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</row>
    <row r="850" spans="1:13" ht="14.25" customHeight="1" x14ac:dyDescent="0.2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</row>
    <row r="851" spans="1:13" ht="14.25" customHeight="1" x14ac:dyDescent="0.2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</row>
    <row r="852" spans="1:13" ht="14.25" customHeight="1" x14ac:dyDescent="0.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</row>
    <row r="853" spans="1:13" ht="14.25" customHeight="1" x14ac:dyDescent="0.2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</row>
    <row r="854" spans="1:13" ht="14.25" customHeight="1" x14ac:dyDescent="0.2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</row>
    <row r="855" spans="1:13" ht="14.25" customHeight="1" x14ac:dyDescent="0.2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</row>
    <row r="856" spans="1:13" ht="14.25" customHeight="1" x14ac:dyDescent="0.2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</row>
    <row r="857" spans="1:13" ht="14.25" customHeight="1" x14ac:dyDescent="0.2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</row>
    <row r="858" spans="1:13" ht="14.25" customHeight="1" x14ac:dyDescent="0.2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</row>
    <row r="859" spans="1:13" ht="14.25" customHeight="1" x14ac:dyDescent="0.2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</row>
    <row r="860" spans="1:13" ht="14.25" customHeight="1" x14ac:dyDescent="0.2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</row>
    <row r="861" spans="1:13" ht="14.25" customHeight="1" x14ac:dyDescent="0.2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</row>
    <row r="862" spans="1:13" ht="14.25" customHeight="1" x14ac:dyDescent="0.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</row>
    <row r="863" spans="1:13" ht="14.25" customHeight="1" x14ac:dyDescent="0.2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</row>
    <row r="864" spans="1:13" ht="14.25" customHeight="1" x14ac:dyDescent="0.2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</row>
    <row r="865" spans="1:13" ht="14.25" customHeight="1" x14ac:dyDescent="0.2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</row>
    <row r="866" spans="1:13" ht="14.25" customHeight="1" x14ac:dyDescent="0.2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</row>
    <row r="867" spans="1:13" ht="14.25" customHeight="1" x14ac:dyDescent="0.2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</row>
    <row r="868" spans="1:13" ht="14.25" customHeight="1" x14ac:dyDescent="0.2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</row>
    <row r="869" spans="1:13" ht="14.25" customHeight="1" x14ac:dyDescent="0.2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</row>
    <row r="870" spans="1:13" ht="14.25" customHeight="1" x14ac:dyDescent="0.2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</row>
    <row r="871" spans="1:13" ht="14.25" customHeight="1" x14ac:dyDescent="0.2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</row>
    <row r="872" spans="1:13" ht="14.25" customHeight="1" x14ac:dyDescent="0.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</row>
    <row r="873" spans="1:13" ht="14.25" customHeight="1" x14ac:dyDescent="0.2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</row>
    <row r="874" spans="1:13" ht="14.25" customHeight="1" x14ac:dyDescent="0.2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</row>
    <row r="875" spans="1:13" ht="14.25" customHeight="1" x14ac:dyDescent="0.2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</row>
    <row r="876" spans="1:13" ht="14.25" customHeight="1" x14ac:dyDescent="0.2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</row>
    <row r="877" spans="1:13" ht="14.25" customHeight="1" x14ac:dyDescent="0.2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</row>
    <row r="878" spans="1:13" ht="14.25" customHeight="1" x14ac:dyDescent="0.2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</row>
    <row r="879" spans="1:13" ht="14.25" customHeight="1" x14ac:dyDescent="0.2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</row>
    <row r="880" spans="1:13" ht="14.25" customHeight="1" x14ac:dyDescent="0.2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</row>
    <row r="881" spans="1:13" ht="14.25" customHeight="1" x14ac:dyDescent="0.2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</row>
    <row r="882" spans="1:13" ht="14.25" customHeight="1" x14ac:dyDescent="0.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</row>
    <row r="883" spans="1:13" ht="14.25" customHeight="1" x14ac:dyDescent="0.2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</row>
    <row r="884" spans="1:13" ht="14.25" customHeight="1" x14ac:dyDescent="0.2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</row>
    <row r="885" spans="1:13" ht="14.25" customHeight="1" x14ac:dyDescent="0.2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</row>
    <row r="886" spans="1:13" ht="14.25" customHeight="1" x14ac:dyDescent="0.2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</row>
    <row r="887" spans="1:13" ht="14.25" customHeight="1" x14ac:dyDescent="0.2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</row>
    <row r="888" spans="1:13" ht="14.25" customHeight="1" x14ac:dyDescent="0.2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</row>
    <row r="889" spans="1:13" ht="14.25" customHeight="1" x14ac:dyDescent="0.2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</row>
    <row r="890" spans="1:13" ht="14.25" customHeight="1" x14ac:dyDescent="0.2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</row>
    <row r="891" spans="1:13" ht="14.25" customHeight="1" x14ac:dyDescent="0.2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</row>
    <row r="892" spans="1:13" ht="14.25" customHeight="1" x14ac:dyDescent="0.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</row>
    <row r="893" spans="1:13" ht="14.25" customHeight="1" x14ac:dyDescent="0.2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</row>
    <row r="894" spans="1:13" ht="14.25" customHeight="1" x14ac:dyDescent="0.2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</row>
    <row r="895" spans="1:13" ht="14.25" customHeight="1" x14ac:dyDescent="0.2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</row>
    <row r="896" spans="1:13" ht="14.25" customHeight="1" x14ac:dyDescent="0.2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</row>
    <row r="897" spans="1:13" ht="14.25" customHeight="1" x14ac:dyDescent="0.2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</row>
    <row r="898" spans="1:13" ht="14.25" customHeight="1" x14ac:dyDescent="0.2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</row>
    <row r="899" spans="1:13" ht="14.25" customHeight="1" x14ac:dyDescent="0.2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</row>
    <row r="900" spans="1:13" ht="14.25" customHeight="1" x14ac:dyDescent="0.2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</row>
    <row r="901" spans="1:13" ht="14.25" customHeight="1" x14ac:dyDescent="0.2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</row>
    <row r="902" spans="1:13" ht="14.25" customHeight="1" x14ac:dyDescent="0.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</row>
    <row r="903" spans="1:13" ht="14.25" customHeight="1" x14ac:dyDescent="0.2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</row>
    <row r="904" spans="1:13" ht="14.25" customHeight="1" x14ac:dyDescent="0.2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</row>
    <row r="905" spans="1:13" ht="14.25" customHeight="1" x14ac:dyDescent="0.2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</row>
    <row r="906" spans="1:13" ht="14.25" customHeight="1" x14ac:dyDescent="0.2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</row>
    <row r="907" spans="1:13" ht="14.25" customHeight="1" x14ac:dyDescent="0.2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</row>
    <row r="908" spans="1:13" ht="14.25" customHeight="1" x14ac:dyDescent="0.2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</row>
    <row r="909" spans="1:13" ht="14.25" customHeight="1" x14ac:dyDescent="0.2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</row>
    <row r="910" spans="1:13" ht="14.25" customHeight="1" x14ac:dyDescent="0.2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</row>
    <row r="911" spans="1:13" ht="14.25" customHeight="1" x14ac:dyDescent="0.2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</row>
    <row r="912" spans="1:13" ht="14.25" customHeight="1" x14ac:dyDescent="0.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</row>
    <row r="913" spans="1:13" ht="14.25" customHeight="1" x14ac:dyDescent="0.2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</row>
    <row r="914" spans="1:13" ht="14.25" customHeight="1" x14ac:dyDescent="0.2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</row>
    <row r="915" spans="1:13" ht="14.25" customHeight="1" x14ac:dyDescent="0.2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</row>
    <row r="916" spans="1:13" ht="14.25" customHeight="1" x14ac:dyDescent="0.2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</row>
    <row r="917" spans="1:13" ht="14.25" customHeight="1" x14ac:dyDescent="0.2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</row>
    <row r="918" spans="1:13" ht="14.25" customHeight="1" x14ac:dyDescent="0.2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</row>
    <row r="919" spans="1:13" ht="14.25" customHeight="1" x14ac:dyDescent="0.2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</row>
    <row r="920" spans="1:13" ht="14.25" customHeight="1" x14ac:dyDescent="0.2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</row>
    <row r="921" spans="1:13" ht="14.25" customHeight="1" x14ac:dyDescent="0.2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</row>
    <row r="922" spans="1:13" ht="14.25" customHeight="1" x14ac:dyDescent="0.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</row>
    <row r="923" spans="1:13" ht="14.25" customHeight="1" x14ac:dyDescent="0.2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</row>
    <row r="924" spans="1:13" ht="14.25" customHeight="1" x14ac:dyDescent="0.2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</row>
    <row r="925" spans="1:13" ht="14.25" customHeight="1" x14ac:dyDescent="0.2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</row>
    <row r="926" spans="1:13" ht="14.25" customHeight="1" x14ac:dyDescent="0.2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</row>
    <row r="927" spans="1:13" ht="14.25" customHeight="1" x14ac:dyDescent="0.2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</row>
    <row r="928" spans="1:13" ht="14.25" customHeight="1" x14ac:dyDescent="0.2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</row>
    <row r="929" spans="1:13" ht="14.25" customHeight="1" x14ac:dyDescent="0.2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</row>
    <row r="930" spans="1:13" ht="14.25" customHeight="1" x14ac:dyDescent="0.2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</row>
    <row r="931" spans="1:13" ht="14.25" customHeight="1" x14ac:dyDescent="0.2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</row>
    <row r="932" spans="1:13" ht="14.25" customHeight="1" x14ac:dyDescent="0.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</row>
    <row r="933" spans="1:13" ht="14.25" customHeight="1" x14ac:dyDescent="0.2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</row>
    <row r="934" spans="1:13" ht="14.25" customHeight="1" x14ac:dyDescent="0.2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</row>
    <row r="935" spans="1:13" ht="14.25" customHeight="1" x14ac:dyDescent="0.2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</row>
    <row r="936" spans="1:13" ht="14.25" customHeight="1" x14ac:dyDescent="0.2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</row>
    <row r="937" spans="1:13" ht="14.25" customHeight="1" x14ac:dyDescent="0.2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</row>
    <row r="938" spans="1:13" ht="14.25" customHeight="1" x14ac:dyDescent="0.2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</row>
    <row r="939" spans="1:13" ht="14.25" customHeight="1" x14ac:dyDescent="0.2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</row>
    <row r="940" spans="1:13" ht="14.25" customHeight="1" x14ac:dyDescent="0.2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</row>
    <row r="941" spans="1:13" ht="14.25" customHeight="1" x14ac:dyDescent="0.2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</row>
    <row r="942" spans="1:13" ht="14.25" customHeight="1" x14ac:dyDescent="0.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</row>
    <row r="943" spans="1:13" ht="14.25" customHeight="1" x14ac:dyDescent="0.2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</row>
    <row r="944" spans="1:13" ht="14.25" customHeight="1" x14ac:dyDescent="0.2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</row>
    <row r="945" spans="1:13" ht="14.25" customHeight="1" x14ac:dyDescent="0.2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</row>
    <row r="946" spans="1:13" ht="14.25" customHeight="1" x14ac:dyDescent="0.2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</row>
    <row r="947" spans="1:13" ht="14.25" customHeight="1" x14ac:dyDescent="0.2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</row>
    <row r="948" spans="1:13" ht="14.25" customHeight="1" x14ac:dyDescent="0.2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</row>
    <row r="949" spans="1:13" ht="14.25" customHeight="1" x14ac:dyDescent="0.2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</row>
    <row r="950" spans="1:13" ht="14.25" customHeight="1" x14ac:dyDescent="0.2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</row>
    <row r="951" spans="1:13" ht="14.25" customHeight="1" x14ac:dyDescent="0.2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</row>
    <row r="952" spans="1:13" ht="14.25" customHeight="1" x14ac:dyDescent="0.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</row>
    <row r="953" spans="1:13" ht="14.25" customHeight="1" x14ac:dyDescent="0.2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</row>
    <row r="954" spans="1:13" ht="14.25" customHeight="1" x14ac:dyDescent="0.2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</row>
    <row r="955" spans="1:13" ht="14.25" customHeight="1" x14ac:dyDescent="0.2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</row>
    <row r="956" spans="1:13" ht="14.25" customHeight="1" x14ac:dyDescent="0.2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</row>
    <row r="957" spans="1:13" ht="14.25" customHeight="1" x14ac:dyDescent="0.2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</row>
    <row r="958" spans="1:13" ht="14.25" customHeight="1" x14ac:dyDescent="0.2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</row>
    <row r="959" spans="1:13" ht="14.25" customHeight="1" x14ac:dyDescent="0.2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</row>
    <row r="960" spans="1:13" ht="14.25" customHeight="1" x14ac:dyDescent="0.2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</row>
    <row r="961" spans="1:13" ht="14.25" customHeight="1" x14ac:dyDescent="0.2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</row>
    <row r="962" spans="1:13" ht="14.25" customHeight="1" x14ac:dyDescent="0.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</row>
    <row r="963" spans="1:13" ht="14.25" customHeight="1" x14ac:dyDescent="0.2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</row>
    <row r="964" spans="1:13" ht="14.25" customHeight="1" x14ac:dyDescent="0.2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</row>
  </sheetData>
  <dataValidations count="1">
    <dataValidation type="list" allowBlank="1" showErrorMessage="1" sqref="F2:F10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2025-05-06T13:47:11Z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