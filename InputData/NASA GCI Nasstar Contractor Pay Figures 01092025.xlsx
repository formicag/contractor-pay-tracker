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LmWPOUZU611ILLNK4yug1TxHpB3Jsa3K24z73/5YgA="/>
    </ext>
  </extLst>
</workbook>
</file>

<file path=xl/sharedStrings.xml><?xml version="1.0" encoding="utf-8"?>
<sst xmlns="http://schemas.openxmlformats.org/spreadsheetml/2006/main" count="79" uniqueCount="29">
  <si>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</si>
  <si>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</si>
  <si>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</si>
  <si>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</si>
  <si>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</si>
  <si>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</si>
  <si>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</si>
  <si>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</si>
  <si>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</si>
  <si>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</si>
  <si>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</si>
  <si>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Hunt </t>
  </si>
  <si>
    <t>David</t>
  </si>
  <si>
    <t>day</t>
  </si>
  <si>
    <t>NASA GROUP</t>
  </si>
  <si>
    <t xml:space="preserve">Breden </t>
  </si>
  <si>
    <t>Barry</t>
  </si>
  <si>
    <t>Overtime</t>
  </si>
  <si>
    <t xml:space="preserve">Williams </t>
  </si>
  <si>
    <t>Richard</t>
  </si>
  <si>
    <t xml:space="preserve">Matthews </t>
  </si>
  <si>
    <t>James</t>
  </si>
  <si>
    <t>Yildirim</t>
  </si>
  <si>
    <t>Bilgun</t>
  </si>
  <si>
    <t xml:space="preserve">Kayes </t>
  </si>
  <si>
    <t>Kevin</t>
  </si>
  <si>
    <t>Diogo</t>
  </si>
  <si>
    <t>Macadam</t>
  </si>
  <si>
    <t>Duncan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</si>
</sst>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7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</font>
    <font>
      <sz val="12.0"/>
      <color rgb="FFFF0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/>
    </xf>
    <xf borderId="1" fillId="0" fontId="5" numFmtId="2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/>
    </xf>
    <xf borderId="1" fillId="0" fontId="5" numFmtId="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1" fillId="0" fontId="5" numFmtId="0" xfId="0" applyAlignment="1" applyBorder="1" applyFont="1">
      <alignment horizontal="left" readingOrder="0"/>
    </xf>
    <xf borderId="0" fillId="0" fontId="3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86"/>
    <col customWidth="1" min="3" max="3" width="13.14"/>
    <col customWidth="1" min="4" max="4" width="11.71"/>
    <col customWidth="1" min="6" max="6" width="10.43"/>
    <col customWidth="1" min="7" max="7" width="15.0"/>
    <col customWidth="1" min="8" max="8" width="13.43"/>
    <col customWidth="1" min="9" max="9" width="24.71"/>
    <col customWidth="1" min="10" max="10" width="17.29"/>
    <col customWidth="1" min="11" max="11" width="19.14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812277.0</v>
      </c>
      <c r="B2" s="8" t="s">
        <v>11</v>
      </c>
      <c r="C2" s="7" t="s">
        <v>12</v>
      </c>
      <c r="D2" s="9">
        <v>18.5</v>
      </c>
      <c r="E2" s="10">
        <v>472.03</v>
      </c>
      <c r="F2" s="7" t="s">
        <v>13</v>
      </c>
      <c r="G2" s="11">
        <f t="shared" ref="G2:G13" si="1">D2*E2</f>
        <v>8732.555</v>
      </c>
      <c r="H2" s="11">
        <f t="shared" ref="H2:H13" si="2">G2*0.2</f>
        <v>1746.511</v>
      </c>
      <c r="I2" s="7">
        <f t="shared" ref="I2:I13" si="3">7.5*D2</f>
        <v>138.75</v>
      </c>
      <c r="J2" s="12" t="s">
        <v>14</v>
      </c>
      <c r="K2" s="7"/>
      <c r="L2" s="13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ht="14.25" customHeight="1">
      <c r="A3" s="8">
        <v>825675.0</v>
      </c>
      <c r="B3" s="8" t="s">
        <v>15</v>
      </c>
      <c r="C3" s="7" t="s">
        <v>16</v>
      </c>
      <c r="D3" s="9">
        <v>20.0</v>
      </c>
      <c r="E3" s="10">
        <v>438.43</v>
      </c>
      <c r="F3" s="7" t="s">
        <v>13</v>
      </c>
      <c r="G3" s="11">
        <f t="shared" si="1"/>
        <v>8768.6</v>
      </c>
      <c r="H3" s="11">
        <f t="shared" si="2"/>
        <v>1753.72</v>
      </c>
      <c r="I3" s="7">
        <f t="shared" si="3"/>
        <v>150</v>
      </c>
      <c r="J3" s="12" t="s">
        <v>14</v>
      </c>
      <c r="K3" s="7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ht="14.25" customHeight="1">
      <c r="A4" s="15">
        <v>825675.0</v>
      </c>
      <c r="B4" s="15" t="s">
        <v>15</v>
      </c>
      <c r="C4" s="16" t="s">
        <v>16</v>
      </c>
      <c r="D4" s="17">
        <v>0.5</v>
      </c>
      <c r="E4" s="18">
        <f>E3*1.5</f>
        <v>657.645</v>
      </c>
      <c r="F4" s="16" t="s">
        <v>13</v>
      </c>
      <c r="G4" s="19">
        <f t="shared" si="1"/>
        <v>328.8225</v>
      </c>
      <c r="H4" s="19">
        <f t="shared" si="2"/>
        <v>65.7645</v>
      </c>
      <c r="I4" s="16">
        <f t="shared" si="3"/>
        <v>3.75</v>
      </c>
      <c r="J4" s="20" t="s">
        <v>14</v>
      </c>
      <c r="K4" s="16" t="s">
        <v>17</v>
      </c>
      <c r="L4" s="21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4.25" customHeight="1">
      <c r="A5" s="8">
        <v>814233.0</v>
      </c>
      <c r="B5" s="8" t="s">
        <v>18</v>
      </c>
      <c r="C5" s="7" t="s">
        <v>19</v>
      </c>
      <c r="D5" s="9">
        <v>14.0</v>
      </c>
      <c r="E5" s="10">
        <v>450.0</v>
      </c>
      <c r="F5" s="7" t="s">
        <v>13</v>
      </c>
      <c r="G5" s="11">
        <f t="shared" si="1"/>
        <v>6300</v>
      </c>
      <c r="H5" s="11">
        <f t="shared" si="2"/>
        <v>1260</v>
      </c>
      <c r="I5" s="7">
        <f t="shared" si="3"/>
        <v>105</v>
      </c>
      <c r="J5" s="12" t="s">
        <v>14</v>
      </c>
      <c r="K5" s="7"/>
      <c r="L5" s="13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14.25" customHeight="1">
      <c r="A6" s="8">
        <v>829112.0</v>
      </c>
      <c r="B6" s="8" t="s">
        <v>20</v>
      </c>
      <c r="C6" s="7" t="s">
        <v>21</v>
      </c>
      <c r="D6" s="9">
        <v>19.0</v>
      </c>
      <c r="E6" s="10">
        <v>490.0</v>
      </c>
      <c r="F6" s="7" t="s">
        <v>13</v>
      </c>
      <c r="G6" s="11">
        <f t="shared" si="1"/>
        <v>9310</v>
      </c>
      <c r="H6" s="11">
        <f t="shared" si="2"/>
        <v>1862</v>
      </c>
      <c r="I6" s="7">
        <f t="shared" si="3"/>
        <v>142.5</v>
      </c>
      <c r="J6" s="12" t="s">
        <v>14</v>
      </c>
      <c r="K6" s="7"/>
      <c r="L6" s="13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14.25" customHeight="1">
      <c r="A7" s="15">
        <v>829112.0</v>
      </c>
      <c r="B7" s="15" t="s">
        <v>20</v>
      </c>
      <c r="C7" s="16" t="s">
        <v>21</v>
      </c>
      <c r="D7" s="17">
        <v>4.0</v>
      </c>
      <c r="E7" s="18">
        <v>490.0</v>
      </c>
      <c r="F7" s="16" t="s">
        <v>13</v>
      </c>
      <c r="G7" s="19">
        <f t="shared" si="1"/>
        <v>1960</v>
      </c>
      <c r="H7" s="19">
        <f t="shared" si="2"/>
        <v>392</v>
      </c>
      <c r="I7" s="16">
        <f t="shared" si="3"/>
        <v>30</v>
      </c>
      <c r="J7" s="20" t="s">
        <v>14</v>
      </c>
      <c r="K7" s="23" t="s">
        <v>17</v>
      </c>
      <c r="L7" s="13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14.25" customHeight="1">
      <c r="A8" s="15">
        <v>829112.0</v>
      </c>
      <c r="B8" s="15" t="s">
        <v>20</v>
      </c>
      <c r="C8" s="16" t="s">
        <v>21</v>
      </c>
      <c r="D8" s="17">
        <v>2.0</v>
      </c>
      <c r="E8" s="18">
        <v>490.0</v>
      </c>
      <c r="F8" s="16" t="s">
        <v>13</v>
      </c>
      <c r="G8" s="19">
        <f t="shared" si="1"/>
        <v>980</v>
      </c>
      <c r="H8" s="19">
        <f t="shared" si="2"/>
        <v>196</v>
      </c>
      <c r="I8" s="16">
        <f t="shared" si="3"/>
        <v>15</v>
      </c>
      <c r="J8" s="20" t="s">
        <v>14</v>
      </c>
      <c r="K8" s="23" t="s">
        <v>17</v>
      </c>
      <c r="L8" s="13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t="14.25" customHeight="1">
      <c r="A9" s="7">
        <v>841360.0</v>
      </c>
      <c r="B9" s="8" t="s">
        <v>22</v>
      </c>
      <c r="C9" s="7" t="s">
        <v>23</v>
      </c>
      <c r="D9" s="9">
        <v>17.0</v>
      </c>
      <c r="E9" s="10">
        <v>580.0</v>
      </c>
      <c r="F9" s="7" t="s">
        <v>13</v>
      </c>
      <c r="G9" s="11">
        <f t="shared" si="1"/>
        <v>9860</v>
      </c>
      <c r="H9" s="11">
        <f t="shared" si="2"/>
        <v>1972</v>
      </c>
      <c r="I9" s="7">
        <f t="shared" si="3"/>
        <v>127.5</v>
      </c>
      <c r="J9" s="12" t="s">
        <v>14</v>
      </c>
      <c r="K9" s="7"/>
      <c r="L9" s="13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ht="14.25" customHeight="1">
      <c r="A10" s="7">
        <v>814829.0</v>
      </c>
      <c r="B10" s="8" t="s">
        <v>24</v>
      </c>
      <c r="C10" s="7" t="s">
        <v>25</v>
      </c>
      <c r="D10" s="9">
        <v>20.0</v>
      </c>
      <c r="E10" s="10">
        <v>544.96</v>
      </c>
      <c r="F10" s="7" t="s">
        <v>13</v>
      </c>
      <c r="G10" s="11">
        <f t="shared" si="1"/>
        <v>10899.2</v>
      </c>
      <c r="H10" s="11">
        <f t="shared" si="2"/>
        <v>2179.84</v>
      </c>
      <c r="I10" s="7">
        <f t="shared" si="3"/>
        <v>150</v>
      </c>
      <c r="J10" s="12" t="s">
        <v>14</v>
      </c>
      <c r="K10" s="7"/>
      <c r="L10" s="13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ht="14.25" customHeight="1">
      <c r="A11" s="16">
        <v>814829.0</v>
      </c>
      <c r="B11" s="15" t="s">
        <v>24</v>
      </c>
      <c r="C11" s="16" t="s">
        <v>25</v>
      </c>
      <c r="D11" s="17">
        <v>2.0</v>
      </c>
      <c r="E11" s="18">
        <f>E10*1.5</f>
        <v>817.44</v>
      </c>
      <c r="F11" s="16" t="s">
        <v>13</v>
      </c>
      <c r="G11" s="19">
        <f t="shared" si="1"/>
        <v>1634.88</v>
      </c>
      <c r="H11" s="19">
        <f t="shared" si="2"/>
        <v>326.976</v>
      </c>
      <c r="I11" s="16">
        <f t="shared" si="3"/>
        <v>15</v>
      </c>
      <c r="J11" s="20" t="s">
        <v>14</v>
      </c>
      <c r="K11" s="16" t="s">
        <v>17</v>
      </c>
      <c r="L11" s="21"/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14.25" customHeight="1">
      <c r="A12" s="7">
        <v>808042.0</v>
      </c>
      <c r="B12" s="8" t="s">
        <v>26</v>
      </c>
      <c r="C12" s="7" t="s">
        <v>26</v>
      </c>
      <c r="D12" s="9">
        <v>10.0</v>
      </c>
      <c r="E12" s="10">
        <v>557.51</v>
      </c>
      <c r="F12" s="7" t="s">
        <v>13</v>
      </c>
      <c r="G12" s="11">
        <f t="shared" si="1"/>
        <v>5575.1</v>
      </c>
      <c r="H12" s="11">
        <f t="shared" si="2"/>
        <v>1115.02</v>
      </c>
      <c r="I12" s="7">
        <f t="shared" si="3"/>
        <v>75</v>
      </c>
      <c r="J12" s="12" t="s">
        <v>14</v>
      </c>
      <c r="K12" s="7"/>
      <c r="L12" s="13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t="14.25" customHeight="1">
      <c r="A13" s="7">
        <v>846384.0</v>
      </c>
      <c r="B13" s="8" t="s">
        <v>27</v>
      </c>
      <c r="C13" s="7" t="s">
        <v>28</v>
      </c>
      <c r="D13" s="9">
        <v>20.0</v>
      </c>
      <c r="E13" s="10">
        <v>600.0</v>
      </c>
      <c r="F13" s="7" t="s">
        <v>13</v>
      </c>
      <c r="G13" s="11">
        <f t="shared" si="1"/>
        <v>12000</v>
      </c>
      <c r="H13" s="11">
        <f t="shared" si="2"/>
        <v>2400</v>
      </c>
      <c r="I13" s="7">
        <f t="shared" si="3"/>
        <v>150</v>
      </c>
      <c r="J13" s="12" t="s">
        <v>14</v>
      </c>
      <c r="K13" s="7"/>
      <c r="L13" s="13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14.25" customHeight="1">
      <c r="A15" s="13"/>
      <c r="B15" s="13"/>
      <c r="C15" s="13"/>
      <c r="D15" s="13"/>
      <c r="E15" s="24"/>
      <c r="F15" s="13"/>
      <c r="G15" s="13"/>
      <c r="H15" s="13"/>
      <c r="I15" s="13"/>
      <c r="J15" s="13"/>
      <c r="K15" s="13"/>
      <c r="L15" s="13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4.25" customHeight="1">
      <c r="A20" s="1" t="s">
        <v>0</v>
      </c>
      <c r="B20" s="1" t="s">
        <v>1</v>
      </c>
      <c r="C20" s="1" t="s">
        <v>2</v>
      </c>
      <c r="D20" s="2" t="s">
        <v>3</v>
      </c>
      <c r="E20" s="3" t="s">
        <v>4</v>
      </c>
      <c r="F20" s="1" t="s">
        <v>5</v>
      </c>
      <c r="G20" s="3" t="s">
        <v>6</v>
      </c>
      <c r="H20" s="3" t="s">
        <v>7</v>
      </c>
      <c r="I20" s="1" t="s">
        <v>8</v>
      </c>
      <c r="J20" s="4" t="s">
        <v>9</v>
      </c>
      <c r="K20" s="4" t="s">
        <v>10</v>
      </c>
      <c r="L20" s="13"/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4.25" customHeight="1">
      <c r="A21" s="15">
        <v>829112.0</v>
      </c>
      <c r="B21" s="15" t="s">
        <v>20</v>
      </c>
      <c r="C21" s="16" t="s">
        <v>21</v>
      </c>
      <c r="D21" s="17">
        <v>2.0</v>
      </c>
      <c r="E21" s="18">
        <v>490.0</v>
      </c>
      <c r="F21" s="16" t="s">
        <v>13</v>
      </c>
      <c r="G21" s="19">
        <f>D21*E21</f>
        <v>980</v>
      </c>
      <c r="H21" s="19">
        <f>G21*0.2</f>
        <v>196</v>
      </c>
      <c r="I21" s="16">
        <f>7.5*D21</f>
        <v>15</v>
      </c>
      <c r="J21" s="20" t="s">
        <v>14</v>
      </c>
      <c r="K21" s="23" t="s">
        <v>17</v>
      </c>
      <c r="L21" s="13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</sheetData>
  <dataValidations>
    <dataValidation type="list" allowBlank="1" showErrorMessage="1" sqref="F2:F13 F21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