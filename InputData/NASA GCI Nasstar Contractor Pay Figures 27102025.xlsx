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CTdEfRpy3UUPCdZLDz0Yi+5ZIyqIgwpfLhk8wB6XU="/>
    </ext>
  </extLst>
</workbook>
</file>

<file path=xl/sharedStrings.xml><?xml version="1.0" encoding="utf-8"?>
<sst xmlns="http://schemas.openxmlformats.org/spreadsheetml/2006/main" count="63" uniqueCount="29">
  <si>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</si>
  <si>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</si>
  <si>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</si>
  <si>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</si>
  <si>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</si>
  <si>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</si>
  <si>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</si>
  <si>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</si>
  <si>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</si>
  <si>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</si>
  <si>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</si>
  <si>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Hunt </t>
  </si>
  <si>
    <t>David</t>
  </si>
  <si>
    <t>day</t>
  </si>
  <si>
    <t>NASA GROUP</t>
  </si>
  <si>
    <t>Overtime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</si>
  <si>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</si>
  <si>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</si>
  <si>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</si>
  <si>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</si>
  <si>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</si>
  <si>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</si>
  <si>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Yildirim</t>
  </si>
  <si>
    <t>Bilgun</t>
  </si>
  <si>
    <t xml:space="preserve">Kayes </t>
  </si>
  <si>
    <t>Kevin</t>
  </si>
  <si>
    <t>Diogo</t>
  </si>
  <si>
    <t>Smith</t>
  </si>
  <si>
    <t>Donna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</si>
</sst>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shrinkToFit="0" wrapText="1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/>
    </xf>
    <xf borderId="1" fillId="0" fontId="5" numFmtId="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7" numFmtId="0" xfId="0" applyFont="1"/>
    <xf borderId="0" fillId="0" fontId="6" numFmtId="0" xfId="0" applyFont="1"/>
    <xf borderId="1" fillId="0" fontId="5" numFmtId="0" xfId="0" applyAlignment="1" applyBorder="1" applyFont="1">
      <alignment horizontal="left" readingOrder="0"/>
    </xf>
    <xf borderId="0" fillId="0" fontId="3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10.43"/>
    <col customWidth="1" min="4" max="4" width="6.29"/>
    <col customWidth="1" min="5" max="5" width="8.71"/>
    <col customWidth="1" min="6" max="6" width="7.29"/>
    <col customWidth="1" min="7" max="7" width="10.43"/>
    <col customWidth="1" min="8" max="8" width="9.29"/>
    <col customWidth="1" min="9" max="9" width="21.86"/>
    <col customWidth="1" min="10" max="10" width="13.57"/>
    <col customWidth="1" min="11" max="11" width="10.0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812277.0</v>
      </c>
      <c r="B2" s="8" t="s">
        <v>11</v>
      </c>
      <c r="C2" s="7" t="s">
        <v>12</v>
      </c>
      <c r="D2" s="9">
        <v>20.0</v>
      </c>
      <c r="E2" s="10">
        <v>472.03</v>
      </c>
      <c r="F2" s="7" t="s">
        <v>13</v>
      </c>
      <c r="G2" s="11">
        <f t="shared" ref="G2:G13" si="1">D2*E2</f>
        <v>9440.6</v>
      </c>
      <c r="H2" s="11">
        <f t="shared" ref="H2:H13" si="2">G2*0.2</f>
        <v>1888.12</v>
      </c>
      <c r="I2" s="7">
        <f t="shared" ref="I2:I13" si="3">7.5*D2</f>
        <v>150</v>
      </c>
      <c r="J2" s="12" t="s">
        <v>14</v>
      </c>
      <c r="K2" s="7"/>
      <c r="L2" s="13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ht="14.25" customHeight="1">
      <c r="A3" s="15">
        <v>812277.0</v>
      </c>
      <c r="B3" s="16" t="s">
        <v>11</v>
      </c>
      <c r="C3" s="15" t="s">
        <v>12</v>
      </c>
      <c r="D3" s="17">
        <v>1.0</v>
      </c>
      <c r="E3" s="18">
        <f>E2*1.5</f>
        <v>708.045</v>
      </c>
      <c r="F3" s="15" t="s">
        <v>13</v>
      </c>
      <c r="G3" s="19">
        <f t="shared" si="1"/>
        <v>708.045</v>
      </c>
      <c r="H3" s="19">
        <f t="shared" si="2"/>
        <v>141.609</v>
      </c>
      <c r="I3" s="15">
        <f t="shared" si="3"/>
        <v>7.5</v>
      </c>
      <c r="J3" s="20" t="s">
        <v>14</v>
      </c>
      <c r="K3" s="15" t="s">
        <v>15</v>
      </c>
      <c r="L3" s="21"/>
      <c r="M3" s="2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14.25" customHeight="1">
      <c r="A4" s="8">
        <v>825675.0</v>
      </c>
      <c r="B4" s="8" t="s">
        <v>16</v>
      </c>
      <c r="C4" s="7" t="s">
        <v>17</v>
      </c>
      <c r="D4" s="9">
        <v>19.0</v>
      </c>
      <c r="E4" s="10">
        <v>438.43</v>
      </c>
      <c r="F4" s="7" t="s">
        <v>13</v>
      </c>
      <c r="G4" s="11">
        <f t="shared" si="1"/>
        <v>8330.17</v>
      </c>
      <c r="H4" s="11">
        <f t="shared" si="2"/>
        <v>1666.034</v>
      </c>
      <c r="I4" s="7">
        <f t="shared" si="3"/>
        <v>142.5</v>
      </c>
      <c r="J4" s="12" t="s">
        <v>14</v>
      </c>
      <c r="K4" s="7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14.25" customHeight="1">
      <c r="A5" s="16">
        <v>825675.0</v>
      </c>
      <c r="B5" s="16" t="s">
        <v>16</v>
      </c>
      <c r="C5" s="15" t="s">
        <v>17</v>
      </c>
      <c r="D5" s="17">
        <v>1.33</v>
      </c>
      <c r="E5" s="18">
        <f>E4*1.5</f>
        <v>657.645</v>
      </c>
      <c r="F5" s="15" t="s">
        <v>13</v>
      </c>
      <c r="G5" s="19">
        <f t="shared" si="1"/>
        <v>874.66785</v>
      </c>
      <c r="H5" s="19">
        <f t="shared" si="2"/>
        <v>174.93357</v>
      </c>
      <c r="I5" s="15">
        <f t="shared" si="3"/>
        <v>9.975</v>
      </c>
      <c r="J5" s="20" t="s">
        <v>14</v>
      </c>
      <c r="K5" s="15" t="s">
        <v>15</v>
      </c>
      <c r="L5" s="21"/>
      <c r="M5" s="21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ht="14.25" customHeight="1">
      <c r="A6" s="8">
        <v>814233.0</v>
      </c>
      <c r="B6" s="8" t="s">
        <v>18</v>
      </c>
      <c r="C6" s="7" t="s">
        <v>19</v>
      </c>
      <c r="D6" s="9">
        <v>8.5</v>
      </c>
      <c r="E6" s="10">
        <v>450.0</v>
      </c>
      <c r="F6" s="7" t="s">
        <v>13</v>
      </c>
      <c r="G6" s="11">
        <f t="shared" si="1"/>
        <v>3825</v>
      </c>
      <c r="H6" s="11">
        <f t="shared" si="2"/>
        <v>765</v>
      </c>
      <c r="I6" s="7">
        <f t="shared" si="3"/>
        <v>63.75</v>
      </c>
      <c r="J6" s="12" t="s">
        <v>14</v>
      </c>
      <c r="K6" s="7"/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4.25" customHeight="1">
      <c r="A7" s="8">
        <v>829112.0</v>
      </c>
      <c r="B7" s="8" t="s">
        <v>20</v>
      </c>
      <c r="C7" s="7" t="s">
        <v>21</v>
      </c>
      <c r="D7" s="9">
        <v>19.5</v>
      </c>
      <c r="E7" s="10">
        <v>490.0</v>
      </c>
      <c r="F7" s="7" t="s">
        <v>13</v>
      </c>
      <c r="G7" s="11">
        <f t="shared" si="1"/>
        <v>9555</v>
      </c>
      <c r="H7" s="11">
        <f t="shared" si="2"/>
        <v>1911</v>
      </c>
      <c r="I7" s="7">
        <f t="shared" si="3"/>
        <v>146.25</v>
      </c>
      <c r="J7" s="12" t="s">
        <v>14</v>
      </c>
      <c r="K7" s="7"/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14.25" customHeight="1">
      <c r="A8" s="16">
        <v>829112.0</v>
      </c>
      <c r="B8" s="16" t="s">
        <v>20</v>
      </c>
      <c r="C8" s="15" t="s">
        <v>21</v>
      </c>
      <c r="D8" s="17">
        <v>1.0</v>
      </c>
      <c r="E8" s="18">
        <f>E7*1.5</f>
        <v>735</v>
      </c>
      <c r="F8" s="15" t="s">
        <v>13</v>
      </c>
      <c r="G8" s="19">
        <f t="shared" si="1"/>
        <v>735</v>
      </c>
      <c r="H8" s="19">
        <f t="shared" si="2"/>
        <v>147</v>
      </c>
      <c r="I8" s="15">
        <f t="shared" si="3"/>
        <v>7.5</v>
      </c>
      <c r="J8" s="20" t="s">
        <v>14</v>
      </c>
      <c r="K8" s="15" t="s">
        <v>15</v>
      </c>
      <c r="L8" s="13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14.25" customHeight="1">
      <c r="A9" s="7">
        <v>841360.0</v>
      </c>
      <c r="B9" s="8" t="s">
        <v>22</v>
      </c>
      <c r="C9" s="7" t="s">
        <v>23</v>
      </c>
      <c r="D9" s="9">
        <v>11.0</v>
      </c>
      <c r="E9" s="10">
        <v>580.0</v>
      </c>
      <c r="F9" s="7" t="s">
        <v>13</v>
      </c>
      <c r="G9" s="11">
        <f t="shared" si="1"/>
        <v>6380</v>
      </c>
      <c r="H9" s="11">
        <f t="shared" si="2"/>
        <v>1276</v>
      </c>
      <c r="I9" s="7">
        <f t="shared" si="3"/>
        <v>82.5</v>
      </c>
      <c r="J9" s="12" t="s">
        <v>14</v>
      </c>
      <c r="K9" s="7"/>
      <c r="L9" s="13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t="14.25" customHeight="1">
      <c r="A10" s="7">
        <v>814829.0</v>
      </c>
      <c r="B10" s="8" t="s">
        <v>24</v>
      </c>
      <c r="C10" s="7" t="s">
        <v>25</v>
      </c>
      <c r="D10" s="9">
        <v>16.0</v>
      </c>
      <c r="E10" s="10">
        <v>544.96</v>
      </c>
      <c r="F10" s="7" t="s">
        <v>13</v>
      </c>
      <c r="G10" s="11">
        <f t="shared" si="1"/>
        <v>8719.36</v>
      </c>
      <c r="H10" s="11">
        <f t="shared" si="2"/>
        <v>1743.872</v>
      </c>
      <c r="I10" s="7">
        <f t="shared" si="3"/>
        <v>120</v>
      </c>
      <c r="J10" s="12" t="s">
        <v>14</v>
      </c>
      <c r="K10" s="7"/>
      <c r="L10" s="13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t="14.25" customHeight="1">
      <c r="A11" s="7">
        <v>808042.0</v>
      </c>
      <c r="B11" s="8" t="s">
        <v>26</v>
      </c>
      <c r="C11" s="7" t="s">
        <v>26</v>
      </c>
      <c r="D11" s="9">
        <v>20.0</v>
      </c>
      <c r="E11" s="10">
        <v>557.51</v>
      </c>
      <c r="F11" s="7" t="s">
        <v>13</v>
      </c>
      <c r="G11" s="11">
        <f t="shared" si="1"/>
        <v>11150.2</v>
      </c>
      <c r="H11" s="11">
        <f t="shared" si="2"/>
        <v>2230.04</v>
      </c>
      <c r="I11" s="7">
        <f t="shared" si="3"/>
        <v>150</v>
      </c>
      <c r="J11" s="12" t="s">
        <v>14</v>
      </c>
      <c r="K11" s="7"/>
      <c r="L11" s="13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14.25" customHeight="1">
      <c r="A12" s="15">
        <v>808042.0</v>
      </c>
      <c r="B12" s="16" t="s">
        <v>26</v>
      </c>
      <c r="C12" s="15" t="s">
        <v>26</v>
      </c>
      <c r="D12" s="17">
        <v>1.0</v>
      </c>
      <c r="E12" s="18">
        <f>E11*1.5</f>
        <v>836.265</v>
      </c>
      <c r="F12" s="15" t="s">
        <v>13</v>
      </c>
      <c r="G12" s="19">
        <f t="shared" si="1"/>
        <v>836.265</v>
      </c>
      <c r="H12" s="19">
        <f t="shared" si="2"/>
        <v>167.253</v>
      </c>
      <c r="I12" s="15">
        <f t="shared" si="3"/>
        <v>7.5</v>
      </c>
      <c r="J12" s="20" t="s">
        <v>14</v>
      </c>
      <c r="K12" s="24" t="s">
        <v>15</v>
      </c>
      <c r="L12" s="21"/>
      <c r="M12" s="21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14.25" customHeight="1">
      <c r="A13" s="7">
        <v>847902.0</v>
      </c>
      <c r="B13" s="8" t="s">
        <v>27</v>
      </c>
      <c r="C13" s="7" t="s">
        <v>28</v>
      </c>
      <c r="D13" s="9">
        <v>20.0</v>
      </c>
      <c r="E13" s="10">
        <v>250.0</v>
      </c>
      <c r="F13" s="7" t="s">
        <v>13</v>
      </c>
      <c r="G13" s="11">
        <f t="shared" si="1"/>
        <v>5000</v>
      </c>
      <c r="H13" s="11">
        <f t="shared" si="2"/>
        <v>1000</v>
      </c>
      <c r="I13" s="7">
        <f t="shared" si="3"/>
        <v>150</v>
      </c>
      <c r="J13" s="12" t="s">
        <v>14</v>
      </c>
      <c r="K13" s="7"/>
      <c r="L13" s="13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4.25" customHeight="1">
      <c r="A14" s="13"/>
      <c r="B14" s="13"/>
      <c r="C14" s="13"/>
      <c r="D14" s="13"/>
      <c r="E14" s="25"/>
      <c r="F14" s="13"/>
      <c r="G14" s="13"/>
      <c r="H14" s="13"/>
      <c r="I14" s="13"/>
      <c r="J14" s="13"/>
      <c r="K14" s="13"/>
      <c r="L14" s="13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</sheetData>
  <dataValidations>
    <dataValidation type="list" allowBlank="1" showErrorMessage="1" sqref="F2:F12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